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Petunjuk" sheetId="1" state="visible" r:id="rId1"/>
    <sheet name="Profil Usaha" sheetId="2" state="visible" r:id="rId2"/>
    <sheet name="Transaksi" sheetId="3" state="visible" r:id="rId3"/>
    <sheet name="Dashboard" sheetId="4" state="visible" r:id="rId4"/>
    <sheet name="Laba Rugi" sheetId="5" state="visible" r:id="rId5"/>
    <sheet name="Arus Kas Harian" sheetId="6" state="visible" r:id="rId6"/>
    <sheet name="Kategori" sheetId="7" state="visible" r:id="rId7"/>
    <sheet name="Cek Data" sheetId="8" state="visible" r:id="rId8"/>
    <sheet name="Contoh Pengisian" sheetId="9" state="visible" r:id="rId9"/>
    <sheet name="Data Grafik" sheetId="10" state="visible" r:id="rId10"/>
  </sheets>
  <definedNames>
    <definedName name="_xlnm._FilterDatabase" localSheetId="2" hidden="1">'Transaksi'!$A$1:$J$501</definedName>
    <definedName name="_xlnm.Print_Area" localSheetId="4">'Laba Rugi'!$B$1:$D$39</definedName>
    <definedName name="_xlnm._FilterDatabase" localSheetId="7" hidden="1">'Cek Data'!$B$12:$F$512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&quot;\ #,##0"/>
    <numFmt numFmtId="165" formatCode="dd/mm/yyyy"/>
    <numFmt numFmtId="166" formatCode="0.0%"/>
    <numFmt numFmtId="167" formatCode="yyyy-mm-dd"/>
  </numFmts>
  <fonts count="35">
    <font>
      <name val="Calibri"/>
      <family val="2"/>
      <color theme="1"/>
      <sz val="11"/>
      <scheme val="minor"/>
    </font>
    <font>
      <name val="Calibri"/>
      <b val="1"/>
      <color rgb="000E7C7B"/>
      <sz val="8"/>
    </font>
    <font>
      <name val="Calibri"/>
      <b val="1"/>
      <color rgb="000F2B46"/>
      <sz val="20"/>
    </font>
    <font>
      <name val="Calibri"/>
      <color rgb="0064748B"/>
      <sz val="9"/>
    </font>
    <font>
      <name val="Calibri"/>
      <b val="1"/>
      <color rgb="000F2B46"/>
      <sz val="9"/>
    </font>
    <font>
      <name val="Calibri"/>
      <b val="1"/>
      <color rgb="000E7C7B"/>
      <sz val="9"/>
    </font>
    <font>
      <name val="Calibri"/>
      <color rgb="001F2937"/>
      <sz val="10"/>
    </font>
    <font>
      <name val="Calibri"/>
      <b val="1"/>
      <color rgb="001D4ED8"/>
      <sz val="9"/>
    </font>
    <font>
      <name val="Calibri"/>
      <b val="1"/>
      <color rgb="00047857"/>
      <sz val="9"/>
    </font>
    <font>
      <name val="Calibri"/>
      <b val="1"/>
      <color rgb="00B45309"/>
      <sz val="9"/>
    </font>
    <font>
      <name val="Calibri"/>
      <b val="1"/>
      <color rgb="000F2B46"/>
      <sz val="10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color rgb="0094A3B8"/>
      <sz val="8"/>
    </font>
    <font>
      <name val="Calibri"/>
      <b val="1"/>
      <color rgb="000F2B46"/>
      <sz val="11"/>
    </font>
    <font>
      <name val="Calibri"/>
      <b val="1"/>
      <color rgb="0064748B"/>
      <sz val="9"/>
    </font>
    <font>
      <name val="Calibri"/>
      <b val="1"/>
      <color rgb="000F2B46"/>
      <sz val="13"/>
    </font>
    <font>
      <name val="Calibri"/>
      <b val="1"/>
      <color rgb="000E7C7B"/>
      <sz val="12"/>
    </font>
    <font>
      <name val="Calibri"/>
      <b val="1"/>
      <color rgb="0064748B"/>
      <sz val="10"/>
    </font>
    <font>
      <name val="Calibri"/>
      <b val="1"/>
      <color rgb="00047857"/>
      <sz val="8"/>
    </font>
    <font>
      <name val="Calibri"/>
      <b val="1"/>
      <color rgb="001F2937"/>
      <sz val="17"/>
    </font>
    <font>
      <name val="Calibri"/>
      <b val="1"/>
      <color rgb="00B91C1C"/>
      <sz val="8"/>
    </font>
    <font>
      <name val="Calibri"/>
      <b val="1"/>
      <color rgb="001D4ED8"/>
      <sz val="8"/>
    </font>
    <font>
      <name val="Calibri"/>
      <b val="1"/>
      <color rgb="00B45309"/>
      <sz val="8"/>
    </font>
    <font>
      <name val="Calibri"/>
      <b val="1"/>
      <color rgb="001F2937"/>
      <sz val="10"/>
    </font>
    <font>
      <name val="Calibri"/>
      <color rgb="00C8961E"/>
      <sz val="10"/>
    </font>
    <font>
      <name val="Calibri"/>
      <b val="1"/>
      <color rgb="000E7C7B"/>
      <sz val="11"/>
    </font>
    <font>
      <name val="Calibri"/>
      <b val="1"/>
      <color rgb="001F2937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F2B46"/>
      <sz val="16"/>
    </font>
    <font>
      <name val="Calibri"/>
      <color rgb="00047857"/>
      <sz val="9"/>
    </font>
    <font>
      <name val="Calibri"/>
      <color rgb="00B91C1C"/>
      <sz val="9"/>
    </font>
    <font>
      <name val="Calibri"/>
      <i val="1"/>
      <color rgb="00B45309"/>
      <sz val="9"/>
    </font>
  </fonts>
  <fills count="15">
    <fill>
      <patternFill/>
    </fill>
    <fill>
      <patternFill patternType="gray125"/>
    </fill>
    <fill>
      <patternFill patternType="solid">
        <fgColor rgb="00FBF7EF"/>
      </patternFill>
    </fill>
    <fill>
      <patternFill patternType="solid">
        <fgColor rgb="000F2B46"/>
      </patternFill>
    </fill>
    <fill>
      <patternFill patternType="solid">
        <fgColor rgb="000E7C7B"/>
      </patternFill>
    </fill>
    <fill>
      <patternFill patternType="solid">
        <fgColor rgb="00C8961E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3C4"/>
      </patternFill>
    </fill>
    <fill>
      <patternFill patternType="solid">
        <fgColor rgb="00FFFFFF"/>
      </patternFill>
    </fill>
    <fill>
      <patternFill patternType="solid">
        <fgColor rgb="00B91C1C"/>
      </patternFill>
    </fill>
    <fill>
      <patternFill patternType="solid">
        <fgColor rgb="0064748B"/>
      </patternFill>
    </fill>
  </fills>
  <borders count="43">
    <border>
      <left/>
      <right/>
      <top/>
      <bottom/>
      <diagonal/>
    </border>
    <border>
      <bottom style="medium">
        <color rgb="000F2B4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8961E"/>
      </left>
      <right style="thin">
        <color rgb="00C8961E"/>
      </right>
      <top style="thin">
        <color rgb="00C8961E"/>
      </top>
      <bottom style="thin">
        <color rgb="00C8961E"/>
      </bottom>
    </border>
    <border>
      <left style="thin">
        <color rgb="00E2E8F0"/>
      </left>
      <top style="thick">
        <color rgb="00047857"/>
      </top>
    </border>
    <border>
      <right style="thin">
        <color rgb="00E2E8F0"/>
      </right>
      <top style="thick">
        <color rgb="00047857"/>
      </top>
    </border>
    <border>
      <left style="thin">
        <color rgb="00E2E8F0"/>
      </left>
    </border>
    <border>
      <right style="thin">
        <color rgb="00E2E8F0"/>
      </right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thick">
        <color rgb="00047857"/>
      </top>
    </border>
    <border>
      <left/>
      <right/>
      <top style="thick">
        <color rgb="00047857"/>
      </top>
      <bottom/>
      <diagonal/>
    </border>
    <border>
      <left/>
      <right style="thin">
        <color rgb="00E2E8F0"/>
      </right>
      <top style="thick">
        <color rgb="00047857"/>
      </top>
      <bottom/>
      <diagonal/>
    </border>
    <border>
      <left style="thin">
        <color rgb="00E2E8F0"/>
      </left>
      <right style="thin">
        <color rgb="00E2E8F0"/>
      </right>
    </border>
    <border>
      <left/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top style="thick">
        <color rgb="00B91C1C"/>
      </top>
    </border>
    <border>
      <right style="thin">
        <color rgb="00E2E8F0"/>
      </right>
      <top style="thick">
        <color rgb="00B91C1C"/>
      </top>
    </border>
    <border>
      <left style="thin">
        <color rgb="00E2E8F0"/>
      </left>
      <right style="thin">
        <color rgb="00E2E8F0"/>
      </right>
      <top style="thick">
        <color rgb="00B91C1C"/>
      </top>
    </border>
    <border>
      <left/>
      <right/>
      <top style="thick">
        <color rgb="00B91C1C"/>
      </top>
      <bottom/>
      <diagonal/>
    </border>
    <border>
      <left/>
      <right style="thin">
        <color rgb="00E2E8F0"/>
      </right>
      <top style="thick">
        <color rgb="00B91C1C"/>
      </top>
      <bottom/>
      <diagonal/>
    </border>
    <border>
      <left style="thin">
        <color rgb="00E2E8F0"/>
      </left>
      <top style="thick">
        <color rgb="001D4ED8"/>
      </top>
    </border>
    <border>
      <right style="thin">
        <color rgb="00E2E8F0"/>
      </right>
      <top style="thick">
        <color rgb="001D4ED8"/>
      </top>
    </border>
    <border>
      <left style="thin">
        <color rgb="00E2E8F0"/>
      </left>
      <right style="thin">
        <color rgb="00E2E8F0"/>
      </right>
      <top style="thick">
        <color rgb="001D4ED8"/>
      </top>
    </border>
    <border>
      <left/>
      <right/>
      <top style="thick">
        <color rgb="001D4ED8"/>
      </top>
      <bottom/>
      <diagonal/>
    </border>
    <border>
      <left/>
      <right style="thin">
        <color rgb="00E2E8F0"/>
      </right>
      <top style="thick">
        <color rgb="001D4ED8"/>
      </top>
      <bottom/>
      <diagonal/>
    </border>
    <border>
      <left style="thin">
        <color rgb="00E2E8F0"/>
      </left>
      <top style="thick">
        <color rgb="00B45309"/>
      </top>
    </border>
    <border>
      <right style="thin">
        <color rgb="00E2E8F0"/>
      </right>
      <top style="thick">
        <color rgb="00B45309"/>
      </top>
    </border>
    <border>
      <left style="thin">
        <color rgb="00E2E8F0"/>
      </left>
      <right style="thin">
        <color rgb="00E2E8F0"/>
      </right>
      <top style="thick">
        <color rgb="00B45309"/>
      </top>
    </border>
    <border>
      <left/>
      <right/>
      <top style="thick">
        <color rgb="00B45309"/>
      </top>
      <bottom/>
      <diagonal/>
    </border>
    <border>
      <left/>
      <right style="thin">
        <color rgb="00E2E8F0"/>
      </right>
      <top style="thick">
        <color rgb="00B45309"/>
      </top>
      <bottom/>
      <diagonal/>
    </border>
    <border>
      <left style="thin">
        <color rgb="00E2E8F0"/>
      </left>
      <top style="thin">
        <color rgb="00E2E8F0"/>
      </top>
      <bottom style="thin">
        <color rgb="00E2E8F0"/>
      </bottom>
    </border>
    <border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top style="thin">
        <color rgb="00E2E8F0"/>
      </top>
      <bottom style="thin">
        <color rgb="00E2E8F0"/>
      </bottom>
    </border>
    <border>
      <left style="thin">
        <color rgb="00E2E8F0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/>
    <border>
      <bottom style="thin">
        <color rgb="00E2E8F0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8" fillId="0" borderId="0" pivotButton="0" quotePrefix="0" xfId="0"/>
    <xf numFmtId="0" fontId="9" fillId="0" borderId="1" applyAlignment="1" pivotButton="0" quotePrefix="0" xfId="0">
      <alignment vertical="center"/>
    </xf>
    <xf numFmtId="0" fontId="9" fillId="0" borderId="0" pivotButton="0" quotePrefix="0" xfId="0"/>
    <xf numFmtId="0" fontId="4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2" borderId="2" applyAlignment="1" pivotButton="0" quotePrefix="0" xfId="0">
      <alignment vertical="center" indent="1"/>
    </xf>
    <xf numFmtId="164" fontId="6" fillId="2" borderId="2" applyAlignment="1" pivotButton="0" quotePrefix="0" xfId="0">
      <alignment vertical="center" indent="1"/>
    </xf>
    <xf numFmtId="0" fontId="11" fillId="0" borderId="0" applyAlignment="1" pivotButton="0" quotePrefix="0" xfId="0">
      <alignment vertical="center"/>
    </xf>
    <xf numFmtId="0" fontId="12" fillId="3" borderId="2" applyAlignment="1" pivotButton="0" quotePrefix="0" xfId="0">
      <alignment horizontal="center" vertical="center" wrapText="1"/>
    </xf>
    <xf numFmtId="165" fontId="6" fillId="0" borderId="2" pivotButton="0" quotePrefix="0" xfId="0"/>
    <xf numFmtId="0" fontId="6" fillId="0" borderId="2" pivotButton="0" quotePrefix="0" xfId="0"/>
    <xf numFmtId="164" fontId="6" fillId="0" borderId="2" pivotButton="0" quotePrefix="0" xfId="0"/>
    <xf numFmtId="0" fontId="13" fillId="0" borderId="2" pivotButton="0" quotePrefix="0" xfId="0"/>
    <xf numFmtId="0" fontId="15" fillId="0" borderId="0" pivotButton="0" quotePrefix="0" xfId="0"/>
    <xf numFmtId="0" fontId="16" fillId="6" borderId="3" applyAlignment="1" applyProtection="1" pivotButton="0" quotePrefix="0" xfId="0">
      <alignment horizontal="center" vertical="center"/>
      <protection locked="0" hidden="0"/>
    </xf>
    <xf numFmtId="0" fontId="17" fillId="0" borderId="0" pivotButton="0" quotePrefix="0" xfId="0"/>
    <xf numFmtId="0" fontId="18" fillId="0" borderId="0" applyAlignment="1" pivotButton="0" quotePrefix="0" xfId="0">
      <alignment horizontal="right" vertical="center"/>
    </xf>
    <xf numFmtId="0" fontId="13" fillId="0" borderId="0" pivotButton="0" quotePrefix="0" xfId="0"/>
    <xf numFmtId="164" fontId="13" fillId="0" borderId="0" pivotButton="0" quotePrefix="0" xfId="0"/>
    <xf numFmtId="0" fontId="19" fillId="7" borderId="10" applyAlignment="1" pivotButton="0" quotePrefix="0" xfId="0">
      <alignment horizontal="left" vertical="center" indent="1"/>
    </xf>
    <xf numFmtId="0" fontId="0" fillId="0" borderId="12" pivotButton="0" quotePrefix="0" xfId="0"/>
    <xf numFmtId="0" fontId="21" fillId="8" borderId="19" applyAlignment="1" pivotButton="0" quotePrefix="0" xfId="0">
      <alignment horizontal="left" vertical="center" indent="1"/>
    </xf>
    <xf numFmtId="0" fontId="0" fillId="0" borderId="21" pivotButton="0" quotePrefix="0" xfId="0"/>
    <xf numFmtId="164" fontId="20" fillId="7" borderId="13" applyAlignment="1" pivotButton="0" quotePrefix="0" xfId="0">
      <alignment horizontal="left" vertical="center" indent="1"/>
    </xf>
    <xf numFmtId="0" fontId="0" fillId="0" borderId="14" pivotButton="0" quotePrefix="0" xfId="0"/>
    <xf numFmtId="164" fontId="20" fillId="8" borderId="13" applyAlignment="1" pivotButton="0" quotePrefix="0" xfId="0">
      <alignment horizontal="left" vertical="center" indent="1"/>
    </xf>
    <xf numFmtId="0" fontId="3" fillId="7" borderId="15" applyAlignment="1" pivotButton="0" quotePrefix="0" xfId="0">
      <alignment horizontal="left" vertical="top" indent="1"/>
    </xf>
    <xf numFmtId="0" fontId="0" fillId="0" borderId="16" pivotButton="0" quotePrefix="0" xfId="0"/>
    <xf numFmtId="0" fontId="3" fillId="8" borderId="15" applyAlignment="1" pivotButton="0" quotePrefix="0" xfId="0">
      <alignment horizontal="left" vertical="top" indent="1"/>
    </xf>
    <xf numFmtId="0" fontId="22" fillId="9" borderId="24" applyAlignment="1" pivotButton="0" quotePrefix="0" xfId="0">
      <alignment horizontal="left" vertical="center" indent="1"/>
    </xf>
    <xf numFmtId="0" fontId="0" fillId="0" borderId="26" pivotButton="0" quotePrefix="0" xfId="0"/>
    <xf numFmtId="0" fontId="23" fillId="6" borderId="29" applyAlignment="1" pivotButton="0" quotePrefix="0" xfId="0">
      <alignment horizontal="left" vertical="center" indent="1"/>
    </xf>
    <xf numFmtId="0" fontId="0" fillId="0" borderId="31" pivotButton="0" quotePrefix="0" xfId="0"/>
    <xf numFmtId="164" fontId="20" fillId="9" borderId="13" applyAlignment="1" pivotButton="0" quotePrefix="0" xfId="0">
      <alignment horizontal="left" vertical="center" indent="1"/>
    </xf>
    <xf numFmtId="164" fontId="20" fillId="6" borderId="13" applyAlignment="1" pivotButton="0" quotePrefix="0" xfId="0">
      <alignment horizontal="left" vertical="center" indent="1"/>
    </xf>
    <xf numFmtId="0" fontId="3" fillId="9" borderId="15" applyAlignment="1" pivotButton="0" quotePrefix="0" xfId="0">
      <alignment horizontal="left" vertical="top" indent="1"/>
    </xf>
    <xf numFmtId="0" fontId="3" fillId="6" borderId="15" applyAlignment="1" pivotButton="0" quotePrefix="0" xfId="0">
      <alignment horizontal="left" vertical="top" indent="1"/>
    </xf>
    <xf numFmtId="0" fontId="3" fillId="10" borderId="32" applyAlignment="1" pivotButton="0" quotePrefix="0" xfId="0">
      <alignment vertical="center" indent="1"/>
    </xf>
    <xf numFmtId="3" fontId="24" fillId="10" borderId="33" applyAlignment="1" pivotButton="0" quotePrefix="0" xfId="0">
      <alignment horizontal="right" vertical="center" indent="1"/>
    </xf>
    <xf numFmtId="0" fontId="3" fillId="11" borderId="32" applyAlignment="1" pivotButton="0" quotePrefix="0" xfId="0">
      <alignment vertical="center" indent="1"/>
    </xf>
    <xf numFmtId="3" fontId="24" fillId="11" borderId="33" applyAlignment="1" pivotButton="0" quotePrefix="0" xfId="0">
      <alignment horizontal="right" vertical="center" indent="1"/>
    </xf>
    <xf numFmtId="165" fontId="24" fillId="10" borderId="33" applyAlignment="1" pivotButton="0" quotePrefix="0" xfId="0">
      <alignment horizontal="right" vertical="center" indent="1"/>
    </xf>
    <xf numFmtId="0" fontId="12" fillId="5" borderId="2" applyAlignment="1" pivotButton="0" quotePrefix="0" xfId="0">
      <alignment horizontal="center" vertical="center" wrapText="1"/>
    </xf>
    <xf numFmtId="0" fontId="0" fillId="0" borderId="36" pivotButton="0" quotePrefix="0" xfId="0"/>
    <xf numFmtId="0" fontId="6" fillId="10" borderId="32" applyAlignment="1" pivotButton="0" quotePrefix="0" xfId="0">
      <alignment vertical="center" indent="1"/>
    </xf>
    <xf numFmtId="164" fontId="24" fillId="10" borderId="33" applyAlignment="1" pivotButton="0" quotePrefix="0" xfId="0">
      <alignment horizontal="right" vertical="center" indent="1"/>
    </xf>
    <xf numFmtId="0" fontId="25" fillId="10" borderId="32" applyAlignment="1" pivotButton="0" quotePrefix="0" xfId="0">
      <alignment vertical="center" indent="1"/>
    </xf>
    <xf numFmtId="0" fontId="0" fillId="10" borderId="33" pivotButton="0" quotePrefix="0" xfId="0"/>
    <xf numFmtId="0" fontId="6" fillId="12" borderId="32" applyAlignment="1" pivotButton="0" quotePrefix="0" xfId="0">
      <alignment vertical="center" indent="1"/>
    </xf>
    <xf numFmtId="164" fontId="24" fillId="12" borderId="33" applyAlignment="1" pivotButton="0" quotePrefix="0" xfId="0">
      <alignment horizontal="right" vertical="center" indent="1"/>
    </xf>
    <xf numFmtId="0" fontId="25" fillId="12" borderId="32" applyAlignment="1" pivotButton="0" quotePrefix="0" xfId="0">
      <alignment vertical="center" indent="1"/>
    </xf>
    <xf numFmtId="0" fontId="0" fillId="12" borderId="33" pivotButton="0" quotePrefix="0" xfId="0"/>
    <xf numFmtId="0" fontId="26" fillId="0" borderId="0" pivotButton="0" quotePrefix="0" xfId="0"/>
    <xf numFmtId="0" fontId="12" fillId="4" borderId="2" applyAlignment="1" pivotButton="0" quotePrefix="0" xfId="0">
      <alignment horizontal="center" vertical="center" wrapText="1"/>
    </xf>
    <xf numFmtId="164" fontId="6" fillId="12" borderId="37" pivotButton="0" quotePrefix="0" xfId="0"/>
    <xf numFmtId="166" fontId="3" fillId="12" borderId="33" pivotButton="0" quotePrefix="0" xfId="0"/>
    <xf numFmtId="164" fontId="6" fillId="10" borderId="37" pivotButton="0" quotePrefix="0" xfId="0"/>
    <xf numFmtId="166" fontId="3" fillId="10" borderId="33" pivotButton="0" quotePrefix="0" xfId="0"/>
    <xf numFmtId="0" fontId="10" fillId="7" borderId="32" applyAlignment="1" pivotButton="0" quotePrefix="0" xfId="0">
      <alignment vertical="center" indent="1"/>
    </xf>
    <xf numFmtId="164" fontId="27" fillId="7" borderId="37" pivotButton="0" quotePrefix="0" xfId="0"/>
    <xf numFmtId="166" fontId="0" fillId="7" borderId="33" pivotButton="0" quotePrefix="0" xfId="0"/>
    <xf numFmtId="0" fontId="10" fillId="8" borderId="32" applyAlignment="1" pivotButton="0" quotePrefix="0" xfId="0">
      <alignment vertical="center" indent="1"/>
    </xf>
    <xf numFmtId="164" fontId="27" fillId="8" borderId="37" pivotButton="0" quotePrefix="0" xfId="0"/>
    <xf numFmtId="166" fontId="0" fillId="8" borderId="33" pivotButton="0" quotePrefix="0" xfId="0"/>
    <xf numFmtId="0" fontId="28" fillId="3" borderId="32" applyAlignment="1" pivotButton="0" quotePrefix="0" xfId="0">
      <alignment vertical="center" indent="1"/>
    </xf>
    <xf numFmtId="164" fontId="29" fillId="3" borderId="37" pivotButton="0" quotePrefix="0" xfId="0"/>
    <xf numFmtId="166" fontId="30" fillId="3" borderId="33" pivotButton="0" quotePrefix="0" xfId="0"/>
    <xf numFmtId="0" fontId="0" fillId="10" borderId="38" applyAlignment="1" applyProtection="1" pivotButton="0" quotePrefix="0" xfId="0">
      <alignment vertical="top" wrapText="1" indent="1"/>
      <protection locked="0" hidden="0"/>
    </xf>
    <xf numFmtId="0" fontId="0" fillId="10" borderId="39" applyProtection="1" pivotButton="0" quotePrefix="0" xfId="0">
      <protection locked="0" hidden="0"/>
    </xf>
    <xf numFmtId="0" fontId="0" fillId="10" borderId="40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0" fillId="10" borderId="41" applyProtection="1" pivotButton="0" quotePrefix="0" xfId="0">
      <protection locked="0" hidden="0"/>
    </xf>
    <xf numFmtId="0" fontId="0" fillId="10" borderId="7" applyProtection="1" pivotButton="0" quotePrefix="0" xfId="0">
      <protection locked="0" hidden="0"/>
    </xf>
    <xf numFmtId="0" fontId="0" fillId="10" borderId="8" applyProtection="1" pivotButton="0" quotePrefix="0" xfId="0">
      <protection locked="0" hidden="0"/>
    </xf>
    <xf numFmtId="0" fontId="0" fillId="10" borderId="42" applyProtection="1" pivotButton="0" quotePrefix="0" xfId="0">
      <protection locked="0" hidden="0"/>
    </xf>
    <xf numFmtId="0" fontId="0" fillId="10" borderId="9" applyProtection="1" pivotButton="0" quotePrefix="0" xfId="0">
      <protection locked="0" hidden="0"/>
    </xf>
    <xf numFmtId="0" fontId="31" fillId="0" borderId="0" pivotButton="0" quotePrefix="0" xfId="0"/>
    <xf numFmtId="165" fontId="6" fillId="10" borderId="32" pivotButton="0" quotePrefix="0" xfId="0"/>
    <xf numFmtId="0" fontId="32" fillId="10" borderId="37" pivotButton="0" quotePrefix="0" xfId="0"/>
    <xf numFmtId="0" fontId="33" fillId="10" borderId="37" pivotButton="0" quotePrefix="0" xfId="0"/>
    <xf numFmtId="0" fontId="13" fillId="10" borderId="33" pivotButton="0" quotePrefix="0" xfId="0"/>
    <xf numFmtId="165" fontId="6" fillId="12" borderId="32" pivotButton="0" quotePrefix="0" xfId="0"/>
    <xf numFmtId="0" fontId="32" fillId="12" borderId="37" pivotButton="0" quotePrefix="0" xfId="0"/>
    <xf numFmtId="0" fontId="33" fillId="12" borderId="37" pivotButton="0" quotePrefix="0" xfId="0"/>
    <xf numFmtId="0" fontId="13" fillId="12" borderId="33" pivotButton="0" quotePrefix="0" xfId="0"/>
    <xf numFmtId="0" fontId="10" fillId="9" borderId="32" pivotButton="0" quotePrefix="0" xfId="0"/>
    <xf numFmtId="164" fontId="27" fillId="9" borderId="37" pivotButton="0" quotePrefix="0" xfId="0"/>
    <xf numFmtId="0" fontId="0" fillId="9" borderId="33" pivotButton="0" quotePrefix="0" xfId="0"/>
    <xf numFmtId="0" fontId="6" fillId="0" borderId="2" applyAlignment="1" pivotButton="0" quotePrefix="0" xfId="0">
      <alignment vertical="center" indent="1"/>
    </xf>
    <xf numFmtId="0" fontId="34" fillId="0" borderId="0" applyAlignment="1" pivotButton="0" quotePrefix="0" xfId="0">
      <alignment vertical="center"/>
    </xf>
    <xf numFmtId="0" fontId="3" fillId="6" borderId="32" applyAlignment="1" pivotButton="0" quotePrefix="0" xfId="0">
      <alignment vertical="center" indent="1"/>
    </xf>
    <xf numFmtId="3" fontId="24" fillId="6" borderId="33" applyAlignment="1" pivotButton="0" quotePrefix="0" xfId="0">
      <alignment horizontal="right" vertical="center" indent="1"/>
    </xf>
    <xf numFmtId="0" fontId="12" fillId="13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6" fillId="12" borderId="37" pivotButton="0" quotePrefix="0" xfId="0"/>
    <xf numFmtId="0" fontId="6" fillId="12" borderId="33" pivotButton="0" quotePrefix="0" xfId="0"/>
    <xf numFmtId="0" fontId="6" fillId="10" borderId="37" pivotButton="0" quotePrefix="0" xfId="0"/>
    <xf numFmtId="0" fontId="6" fillId="10" borderId="33" pivotButton="0" quotePrefix="0" xfId="0"/>
    <xf numFmtId="0" fontId="14" fillId="0" borderId="0" pivotButton="0" quotePrefix="0" xfId="0"/>
    <xf numFmtId="164" fontId="0" fillId="0" borderId="2" pivotButton="0" quotePrefix="0" xfId="0"/>
    <xf numFmtId="3" fontId="0" fillId="0" borderId="2" pivotButton="0" quotePrefix="0" xfId="0"/>
    <xf numFmtId="0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dxfs count="11">
    <dxf>
      <fill>
        <patternFill patternType="solid">
          <fgColor rgb="00FEF2F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F8FAFC"/>
        </patternFill>
      </fill>
    </dxf>
    <dxf>
      <font>
        <name val="Calibri"/>
        <b val="1"/>
        <color rgb="00047857"/>
        <sz val="10"/>
      </font>
    </dxf>
    <dxf>
      <font>
        <name val="Calibri"/>
        <b val="1"/>
        <color rgb="00B91C1C"/>
        <sz val="10"/>
      </font>
    </dxf>
    <dxf>
      <font>
        <name val="Calibri"/>
        <b val="1"/>
        <color rgb="00047857"/>
        <sz val="10"/>
      </font>
      <fill>
        <patternFill patternType="solid">
          <fgColor rgb="00ECFDF5"/>
        </patternFill>
      </fill>
    </dxf>
    <dxf>
      <font>
        <name val="Calibri"/>
        <b val="1"/>
        <color rgb="00B45309"/>
        <sz val="10"/>
      </font>
      <fill>
        <patternFill patternType="solid">
          <fgColor rgb="00FFFBEB"/>
        </patternFill>
      </fill>
    </dxf>
    <dxf>
      <font>
        <name val="Calibri"/>
        <b val="1"/>
        <color rgb="00B91C1C"/>
        <sz val="10"/>
      </font>
      <fill>
        <patternFill patternType="solid">
          <fgColor rgb="00FEF2F2"/>
        </patternFill>
      </fill>
    </dxf>
    <dxf>
      <font>
        <name val="Calibri"/>
        <b val="1"/>
        <color rgb="00047857"/>
        <sz val="9"/>
      </font>
    </dxf>
    <dxf>
      <font>
        <name val="Calibri"/>
        <b val="1"/>
        <color rgb="00B91C1C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Uang Masuk vs Uang Keluar — 12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Grafik'!C14</f>
            </strRef>
          </tx>
          <spPr>
            <a:solidFill>
              <a:srgbClr val="16A34A"/>
            </a:solidFill>
            <a:ln>
              <a:noFill/>
              <a:prstDash val="solid"/>
            </a:ln>
          </spPr>
          <cat>
            <numRef>
              <f>'Data Grafik'!$A$15:$A$26</f>
            </numRef>
          </cat>
          <val>
            <numRef>
              <f>'Data Grafik'!$C$15:$C$26</f>
            </numRef>
          </val>
        </ser>
        <ser>
          <idx val="1"/>
          <order val="1"/>
          <tx>
            <strRef>
              <f>'Data Grafik'!D14</f>
            </strRef>
          </tx>
          <spPr>
            <a:solidFill>
              <a:srgbClr val="DC2626"/>
            </a:solidFill>
            <a:ln>
              <a:noFill/>
              <a:prstDash val="solid"/>
            </a:ln>
          </spPr>
          <cat>
            <numRef>
              <f>'Data Grafik'!$A$15:$A$26</f>
            </numRef>
          </cat>
          <val>
            <numRef>
              <f>'Data Grafik'!$D$15:$D$26</f>
            </numRef>
          </val>
        </ser>
        <gapWidth val="60"/>
        <overlap val="-12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Tren Harian Bulan Ini</a:t>
            </a:r>
          </a:p>
        </rich>
      </tx>
    </title>
    <plotArea>
      <lineChart>
        <grouping val="standard"/>
        <ser>
          <idx val="0"/>
          <order val="0"/>
          <tx>
            <strRef>
              <f>'Arus Kas Harian'!B4</f>
            </strRef>
          </tx>
          <spPr>
            <a:ln w="22000">
              <a:solidFill>
                <a:srgbClr val="16A3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'Arus Kas Harian'!$H$5:$H$35</f>
            </numRef>
          </cat>
          <val>
            <numRef>
              <f>'Arus Kas Harian'!$B$5:$B$35</f>
            </numRef>
          </val>
          <smooth val="0"/>
        </ser>
        <ser>
          <idx val="1"/>
          <order val="1"/>
          <tx>
            <strRef>
              <f>'Arus Kas Harian'!C4</f>
            </strRef>
          </tx>
          <spPr>
            <a:ln w="22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'Arus Kas Harian'!$H$5:$H$35</f>
            </numRef>
          </cat>
          <val>
            <numRef>
              <f>'Arus Kas Harian'!$C$5:$C$35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Komposisi Uang Keluar Bulan Ini</a:t>
            </a:r>
          </a:p>
        </rich>
      </tx>
    </title>
    <plotArea>
      <doughnutChart>
        <varyColors val="1"/>
        <ser>
          <idx val="0"/>
          <order val="0"/>
          <tx>
            <strRef>
              <f>'Data Grafik'!B44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dPt>
            <idx val="1"/>
            <spPr>
              <a:solidFill>
                <a:srgbClr val="0E7C7B"/>
              </a:solidFill>
              <a:ln>
                <a:prstDash val="solid"/>
              </a:ln>
            </spPr>
          </dPt>
          <dPt>
            <idx val="2"/>
            <spPr>
              <a:solidFill>
                <a:srgbClr val="C8961E"/>
              </a:solidFill>
              <a:ln>
                <a:prstDash val="solid"/>
              </a:ln>
            </spPr>
          </dPt>
          <dPt>
            <idx val="3"/>
            <spPr>
              <a:solidFill>
                <a:srgbClr val="B91C1C"/>
              </a:solidFill>
              <a:ln>
                <a:prstDash val="solid"/>
              </a:ln>
            </spPr>
          </dPt>
          <dPt>
            <idx val="4"/>
            <spPr>
              <a:solidFill>
                <a:srgbClr val="6D28D9"/>
              </a:solidFill>
              <a:ln>
                <a:prstDash val="solid"/>
              </a:ln>
            </spPr>
          </dPt>
          <dPt>
            <idx val="5"/>
            <spPr>
              <a:solidFill>
                <a:srgbClr val="94A3B8"/>
              </a:solidFill>
              <a:ln>
                <a:prstDash val="solid"/>
              </a:ln>
            </spPr>
          </dPt>
          <cat>
            <numRef>
              <f>'Data Grafik'!$A$45:$A$50</f>
            </numRef>
          </cat>
          <val>
            <numRef>
              <f>'Data Grafik'!$B$45:$B$50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56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756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756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2B46"/>
    <outlinePr summaryBelow="1" summaryRight="1"/>
    <pageSetUpPr fitToPage="1"/>
  </sheetPr>
  <dimension ref="B2:C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96" customWidth="1" min="3" max="3"/>
  </cols>
  <sheetData>
    <row r="1" ht="8" customHeight="1"/>
    <row r="2">
      <c r="B2" s="1" t="inlineStr">
        <is>
          <t>KASUMKM · BUKU KAS UMKM</t>
        </is>
      </c>
    </row>
    <row r="3" ht="30" customHeight="1">
      <c r="B3" s="2" t="inlineStr">
        <is>
          <t>Cara Pakai File Ini</t>
        </is>
      </c>
    </row>
    <row r="4">
      <c r="B4" s="3" t="inlineStr">
        <is>
          <t>Cukup 4 kolom setiap kali mencatat. Sisanya dihitung otomatis.</t>
        </is>
      </c>
    </row>
    <row r="5" ht="6" customHeight="1"/>
    <row r="6" ht="20" customHeight="1">
      <c r="B6" s="4" t="inlineStr">
        <is>
          <t>UNTUK PEMILIK USAHA</t>
        </is>
      </c>
      <c r="C6" s="5" t="n"/>
    </row>
    <row r="7" ht="18" customHeight="1">
      <c r="B7" s="6" t="inlineStr">
        <is>
          <t>1.</t>
        </is>
      </c>
      <c r="C7" s="7" t="inlineStr">
        <is>
          <t>Buka sheet TRANSAKSI (lihat tab di bawah).</t>
        </is>
      </c>
    </row>
    <row r="8" ht="18" customHeight="1">
      <c r="B8" s="6" t="inlineStr">
        <is>
          <t>2.</t>
        </is>
      </c>
      <c r="C8" s="7" t="inlineStr">
        <is>
          <t>Isi baris kosong paling bawah: Tanggal, Jenis (Masuk/Keluar), Nominal, Keterangan.</t>
        </is>
      </c>
    </row>
    <row r="9" ht="18" customHeight="1">
      <c r="B9" s="6" t="inlineStr">
        <is>
          <t>3.</t>
        </is>
      </c>
      <c r="C9" s="7" t="inlineStr">
        <is>
          <t>Kolom Kategori, Metode Bayar, dan Status BOLEH DIKOSONGKAN — nanti diisi admin.</t>
        </is>
      </c>
    </row>
    <row r="10" ht="18" customHeight="1">
      <c r="B10" s="6" t="inlineStr">
        <is>
          <t>4.</t>
        </is>
      </c>
      <c r="C10" s="7" t="inlineStr">
        <is>
          <t>Nominal ditulis angka saja, tanpa Rp dan tanpa titik. Contoh: 150000</t>
        </is>
      </c>
    </row>
    <row r="11" ht="18" customHeight="1">
      <c r="B11" s="6" t="inlineStr">
        <is>
          <t>5.</t>
        </is>
      </c>
      <c r="C11" s="7" t="inlineStr">
        <is>
          <t>Punya foto nota? Simpan di Google Drive, tempel tautannya di kolom Tautan Nota.</t>
        </is>
      </c>
    </row>
    <row r="12" ht="18" customHeight="1">
      <c r="B12" s="6" t="inlineStr">
        <is>
          <t>6.</t>
        </is>
      </c>
      <c r="C12" s="7" t="inlineStr">
        <is>
          <t>Catat setiap hari walau hanya satu transaksi. Tidak perlu rapi, yang penting tercatat.</t>
        </is>
      </c>
    </row>
    <row r="14" ht="20" customHeight="1">
      <c r="B14" s="8" t="inlineStr">
        <is>
          <t>UNTUK ADMIN / PEMBUKU</t>
        </is>
      </c>
      <c r="C14" s="5" t="n"/>
    </row>
    <row r="15" ht="18" customHeight="1">
      <c r="B15" s="9" t="inlineStr">
        <is>
          <t>1.</t>
        </is>
      </c>
      <c r="C15" s="7" t="inlineStr">
        <is>
          <t>Baris berwarna kuning = kategori belum diisi. Isi lewat dropdown di kolom Kategori.</t>
        </is>
      </c>
    </row>
    <row r="16" ht="26" customHeight="1">
      <c r="B16" s="9" t="inlineStr">
        <is>
          <t>2.</t>
        </is>
      </c>
      <c r="C16" s="7" t="inlineStr">
        <is>
          <t>Setelah benar, ubah Status menjadi 'Disetujui'. Kalau ragu pilih 'Perlu Perbaikan' dan tulis pertanyaan di kolom Catatan Admin.</t>
        </is>
      </c>
    </row>
    <row r="17" ht="18" customHeight="1">
      <c r="B17" s="9" t="inlineStr">
        <is>
          <t>3.</t>
        </is>
      </c>
      <c r="C17" s="7" t="inlineStr">
        <is>
          <t>Sheet CEK DATA menampilkan baris bermasalah (nominal kosong, tanggal aneh, duplikat).</t>
        </is>
      </c>
    </row>
    <row r="18" ht="18" customHeight="1">
      <c r="B18" s="9" t="inlineStr">
        <is>
          <t>4.</t>
        </is>
      </c>
      <c r="C18" s="7" t="inlineStr">
        <is>
          <t>Sheet DASHBOARD: ubah Bulan &amp; Tahun — kartu, indikator, dan grafik ikut berubah.</t>
        </is>
      </c>
    </row>
    <row r="19" ht="18" customHeight="1">
      <c r="B19" s="9" t="inlineStr">
        <is>
          <t>5.</t>
        </is>
      </c>
      <c r="C19" s="7" t="inlineStr">
        <is>
          <t>Akhir bulan: cetak sheet LABA RUGI menjadi PDF dan kirim ke pemilik usaha.</t>
        </is>
      </c>
    </row>
    <row r="21" ht="20" customHeight="1">
      <c r="B21" s="10" t="inlineStr">
        <is>
          <t>CARA BACA DASHBOARD</t>
        </is>
      </c>
      <c r="C21" s="5" t="n"/>
    </row>
    <row r="22" ht="18" customHeight="1">
      <c r="B22" s="11" t="inlineStr">
        <is>
          <t>1.</t>
        </is>
      </c>
      <c r="C22" s="7" t="inlineStr">
        <is>
          <t>Empat kartu di atas = Uang Masuk, Uang Keluar, Laba/Rugi, Saldo Kas bulan terpilih.</t>
        </is>
      </c>
    </row>
    <row r="23" ht="26" customHeight="1">
      <c r="B23" s="11" t="inlineStr">
        <is>
          <t>2.</t>
        </is>
      </c>
      <c r="C23" s="7" t="inlineStr">
        <is>
          <t>▲ hijau = membaik dibanding bulan lalu, ▼ merah = menurun. Untuk Uang Keluar warnanya dibalik (naik = merah).</t>
        </is>
      </c>
    </row>
    <row r="24" ht="18" customHeight="1">
      <c r="B24" s="11" t="inlineStr">
        <is>
          <t>3.</t>
        </is>
      </c>
      <c r="C24" s="7" t="inlineStr">
        <is>
          <t>Lampu status: hijau SEHAT (laba positif), kuning IMBANG, merah WASPADA (boros).</t>
        </is>
      </c>
    </row>
    <row r="25" ht="18" customHeight="1">
      <c r="B25" s="11" t="inlineStr">
        <is>
          <t>4.</t>
        </is>
      </c>
      <c r="C25" s="7" t="inlineStr">
        <is>
          <t>Balok █ pada 'Uang Paling Banyak Keluar' menunjukkan besar pengeluaran per kategori.</t>
        </is>
      </c>
    </row>
    <row r="26" ht="18" customHeight="1">
      <c r="B26" s="11" t="inlineStr">
        <is>
          <t>5.</t>
        </is>
      </c>
      <c r="C26" s="7" t="inlineStr">
        <is>
          <t>Grafik di sebelah kanan: 12 bulan, tren harian, dan komposisi pengeluaran.</t>
        </is>
      </c>
    </row>
    <row r="28" ht="20" customHeight="1">
      <c r="B28" s="12" t="inlineStr">
        <is>
          <t>PENTING</t>
        </is>
      </c>
      <c r="C28" s="5" t="n"/>
    </row>
    <row r="29" ht="18" customHeight="1">
      <c r="B29" s="13" t="inlineStr">
        <is>
          <t>1.</t>
        </is>
      </c>
      <c r="C29" s="7" t="inlineStr">
        <is>
          <t>Jangan menghapus atau memindahkan kolom, karena rumus mengacu ke posisi kolom.</t>
        </is>
      </c>
    </row>
    <row r="30" ht="18" customHeight="1">
      <c r="B30" s="13" t="inlineStr">
        <is>
          <t>2.</t>
        </is>
      </c>
      <c r="C30" s="7" t="inlineStr">
        <is>
          <t>Kolom J (Bulan) di sheet Transaksi dan sheet DATA GRAFIK adalah pembantu rumus — biarkan saja.</t>
        </is>
      </c>
    </row>
    <row r="31" ht="18" customHeight="1">
      <c r="B31" s="13" t="inlineStr">
        <is>
          <t>3.</t>
        </is>
      </c>
      <c r="C31" s="7" t="inlineStr">
        <is>
          <t>Kapasitas 500 baris transaksi. Kalau penuh, buat file baru untuk tahun berikutnya.</t>
        </is>
      </c>
    </row>
    <row r="32" ht="18" customHeight="1">
      <c r="B32" s="13" t="inlineStr">
        <is>
          <t>4.</t>
        </is>
      </c>
      <c r="C32" s="7" t="inlineStr">
        <is>
          <t>Sel rumus dikunci agar tidak tertimpa. Buka lewat Review → Unprotect Sheet (tanpa password).</t>
        </is>
      </c>
    </row>
    <row r="33" ht="18" customHeight="1">
      <c r="B33" s="13" t="inlineStr">
        <is>
          <t>5.</t>
        </is>
      </c>
      <c r="C33" s="7" t="inlineStr">
        <is>
          <t>Ingin diisi dari HP? Unggah ke Google Drive, buka dengan Google Spreadsheet.</t>
        </is>
      </c>
    </row>
  </sheetData>
  <mergeCells count="7">
    <mergeCell ref="B6:C6"/>
    <mergeCell ref="B21:C21"/>
    <mergeCell ref="B2:C2"/>
    <mergeCell ref="B3:C3"/>
    <mergeCell ref="B28:C28"/>
    <mergeCell ref="B14:C14"/>
    <mergeCell ref="B4:C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2" customWidth="1" min="3" max="3"/>
  </cols>
  <sheetData>
    <row r="1" ht="8" customHeight="1"/>
    <row r="2">
      <c r="B2" s="1" t="inlineStr">
        <is>
          <t>KASUMKM · IDENTITAS</t>
        </is>
      </c>
    </row>
    <row r="3" ht="30" customHeight="1">
      <c r="B3" s="2" t="inlineStr">
        <is>
          <t>Profil Usaha</t>
        </is>
      </c>
    </row>
    <row r="4">
      <c r="B4" s="3" t="inlineStr">
        <is>
          <t>Diisi satu kali oleh admin saat file dibuat.</t>
        </is>
      </c>
    </row>
    <row r="5" ht="6" customHeight="1"/>
    <row r="6" ht="20" customHeight="1">
      <c r="B6" s="14" t="inlineStr">
        <is>
          <t>DATA USAHA</t>
        </is>
      </c>
      <c r="C6" s="5" t="n"/>
    </row>
    <row r="7" ht="20" customHeight="1">
      <c r="B7" s="15" t="inlineStr">
        <is>
          <t>Nama Usaha</t>
        </is>
      </c>
      <c r="C7" s="16" t="inlineStr">
        <is>
          <t>Toko Maju</t>
        </is>
      </c>
    </row>
    <row r="8" ht="20" customHeight="1">
      <c r="B8" s="15" t="inlineStr">
        <is>
          <t>Nama Pemilik</t>
        </is>
      </c>
      <c r="C8" s="16" t="inlineStr">
        <is>
          <t>Bu Siti</t>
        </is>
      </c>
    </row>
    <row r="9" ht="20" customHeight="1">
      <c r="B9" s="15" t="inlineStr">
        <is>
          <t>Jenis Usaha</t>
        </is>
      </c>
      <c r="C9" s="16" t="inlineStr">
        <is>
          <t>Warung / Toko Kelontong</t>
        </is>
      </c>
    </row>
    <row r="10" ht="20" customHeight="1">
      <c r="B10" s="15" t="inlineStr">
        <is>
          <t>No. HP / WhatsApp</t>
        </is>
      </c>
      <c r="C10" s="16" t="inlineStr">
        <is>
          <t>0812-3456-7890</t>
        </is>
      </c>
    </row>
    <row r="11" ht="20" customHeight="1">
      <c r="B11" s="15" t="inlineStr">
        <is>
          <t>Alamat</t>
        </is>
      </c>
      <c r="C11" s="16" t="inlineStr">
        <is>
          <t>Jl. Merdeka No. 12</t>
        </is>
      </c>
    </row>
    <row r="13" ht="20" customHeight="1">
      <c r="B13" s="14" t="inlineStr">
        <is>
          <t>PEMBUKUAN</t>
        </is>
      </c>
      <c r="C13" s="5" t="n"/>
    </row>
    <row r="14" ht="20" customHeight="1">
      <c r="B14" s="15" t="inlineStr">
        <is>
          <t>Modal Awal / Saldo Kas Awal (Rp)</t>
        </is>
      </c>
      <c r="C14" s="17" t="n">
        <v>5000000</v>
      </c>
    </row>
    <row r="15" ht="20" customHeight="1">
      <c r="B15" s="15" t="inlineStr">
        <is>
          <t>Bulan Mulai Pembukuan</t>
        </is>
      </c>
      <c r="C15" s="16" t="inlineStr">
        <is>
          <t>Mei 2026</t>
        </is>
      </c>
    </row>
    <row r="16" ht="20" customHeight="1">
      <c r="B16" s="15" t="inlineStr">
        <is>
          <t>Nama Admin / Pembuku</t>
        </is>
      </c>
      <c r="C16" s="16" t="inlineStr">
        <is>
          <t>Admin KasUMKM</t>
        </is>
      </c>
    </row>
    <row r="18">
      <c r="B18" s="18" t="inlineStr">
        <is>
          <t>Saldo Kas di Dashboard = Modal Awal di atas + seluruh transaksi yang tercatat.</t>
        </is>
      </c>
    </row>
  </sheetData>
  <mergeCells count="6">
    <mergeCell ref="B13:C13"/>
    <mergeCell ref="B6:C6"/>
    <mergeCell ref="B2:C2"/>
    <mergeCell ref="B3:C3"/>
    <mergeCell ref="B18:C18"/>
    <mergeCell ref="B4:C4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34" customWidth="1" min="4" max="4"/>
    <col width="20" customWidth="1" min="5" max="5"/>
    <col width="14" customWidth="1" min="6" max="6"/>
    <col width="16" customWidth="1" min="7" max="7"/>
    <col width="26" customWidth="1" min="8" max="8"/>
    <col width="22" customWidth="1" min="9" max="9"/>
    <col width="13" customWidth="1" min="10" max="10"/>
  </cols>
  <sheetData>
    <row r="1" ht="30" customHeight="1">
      <c r="A1" s="19" t="inlineStr">
        <is>
          <t>Tanggal</t>
        </is>
      </c>
      <c r="B1" s="19" t="inlineStr">
        <is>
          <t>Jenis</t>
        </is>
      </c>
      <c r="C1" s="19" t="inlineStr">
        <is>
          <t>Nominal (Rp)</t>
        </is>
      </c>
      <c r="D1" s="19" t="inlineStr">
        <is>
          <t>Keterangan</t>
        </is>
      </c>
      <c r="E1" s="19" t="inlineStr">
        <is>
          <t>Kategori</t>
        </is>
      </c>
      <c r="F1" s="19" t="inlineStr">
        <is>
          <t>Metode Bayar</t>
        </is>
      </c>
      <c r="G1" s="19" t="inlineStr">
        <is>
          <t>Status</t>
        </is>
      </c>
      <c r="H1" s="19" t="inlineStr">
        <is>
          <t>Catatan Admin</t>
        </is>
      </c>
      <c r="I1" s="19" t="inlineStr">
        <is>
          <t>Tautan Nota</t>
        </is>
      </c>
      <c r="J1" s="19" t="inlineStr">
        <is>
          <t>Bulan (bantu)</t>
        </is>
      </c>
    </row>
    <row r="2" ht="18" customHeight="1">
      <c r="A2" s="20" t="n">
        <v>46143</v>
      </c>
      <c r="B2" s="21" t="inlineStr">
        <is>
          <t>Masuk</t>
        </is>
      </c>
      <c r="C2" s="22" t="n">
        <v>304000</v>
      </c>
      <c r="D2" s="21" t="inlineStr">
        <is>
          <t>penjualan harian</t>
        </is>
      </c>
      <c r="E2" s="21" t="inlineStr">
        <is>
          <t>Penjualan Tunai</t>
        </is>
      </c>
      <c r="F2" s="21" t="inlineStr">
        <is>
          <t>Tunai</t>
        </is>
      </c>
      <c r="G2" s="21" t="inlineStr">
        <is>
          <t>Disetujui</t>
        </is>
      </c>
      <c r="H2" s="21" t="n"/>
      <c r="I2" s="21" t="n"/>
      <c r="J2" s="23">
        <f>IF($A2="","",TEXT($A2,"yyyy-mm"))</f>
        <v/>
      </c>
    </row>
    <row r="3" ht="18" customHeight="1">
      <c r="A3" s="20" t="n">
        <v>46143</v>
      </c>
      <c r="B3" s="21" t="inlineStr">
        <is>
          <t>Keluar</t>
        </is>
      </c>
      <c r="C3" s="22" t="n">
        <v>68000</v>
      </c>
      <c r="D3" s="21" t="inlineStr">
        <is>
          <t>pulsa internet</t>
        </is>
      </c>
      <c r="E3" s="21" t="inlineStr">
        <is>
          <t>Pulsa &amp; Internet</t>
        </is>
      </c>
      <c r="F3" s="21" t="inlineStr">
        <is>
          <t>Tunai</t>
        </is>
      </c>
      <c r="G3" s="21" t="inlineStr">
        <is>
          <t>Disetujui</t>
        </is>
      </c>
      <c r="H3" s="21" t="n"/>
      <c r="I3" s="21" t="n"/>
      <c r="J3" s="23">
        <f>IF($A3="","",TEXT($A3,"yyyy-mm"))</f>
        <v/>
      </c>
    </row>
    <row r="4" ht="18" customHeight="1">
      <c r="A4" s="20" t="n">
        <v>46144</v>
      </c>
      <c r="B4" s="21" t="inlineStr">
        <is>
          <t>Masuk</t>
        </is>
      </c>
      <c r="C4" s="22" t="n">
        <v>746000</v>
      </c>
      <c r="D4" s="21" t="inlineStr">
        <is>
          <t>penjualan tunai kasir</t>
        </is>
      </c>
      <c r="E4" s="21" t="inlineStr">
        <is>
          <t>Penjualan Tunai</t>
        </is>
      </c>
      <c r="F4" s="21" t="inlineStr">
        <is>
          <t>Tunai</t>
        </is>
      </c>
      <c r="G4" s="21" t="inlineStr">
        <is>
          <t>Disetujui</t>
        </is>
      </c>
      <c r="H4" s="21" t="n"/>
      <c r="I4" s="21" t="n"/>
      <c r="J4" s="23">
        <f>IF($A4="","",TEXT($A4,"yyyy-mm"))</f>
        <v/>
      </c>
    </row>
    <row r="5" ht="18" customHeight="1">
      <c r="A5" s="20" t="n">
        <v>46144</v>
      </c>
      <c r="B5" s="21" t="inlineStr">
        <is>
          <t>Keluar</t>
        </is>
      </c>
      <c r="C5" s="22" t="n">
        <v>242000</v>
      </c>
      <c r="D5" s="21" t="inlineStr">
        <is>
          <t>beli bahan baku</t>
        </is>
      </c>
      <c r="E5" s="21" t="inlineStr">
        <is>
          <t>Bahan Baku</t>
        </is>
      </c>
      <c r="F5" s="21" t="inlineStr">
        <is>
          <t>Tunai</t>
        </is>
      </c>
      <c r="G5" s="21" t="inlineStr">
        <is>
          <t>Disetujui</t>
        </is>
      </c>
      <c r="H5" s="21" t="n"/>
      <c r="I5" s="21" t="n"/>
      <c r="J5" s="23">
        <f>IF($A5="","",TEXT($A5,"yyyy-mm"))</f>
        <v/>
      </c>
    </row>
    <row r="6" ht="18" customHeight="1">
      <c r="A6" s="20" t="n">
        <v>46145</v>
      </c>
      <c r="B6" s="21" t="inlineStr">
        <is>
          <t>Masuk</t>
        </is>
      </c>
      <c r="C6" s="22" t="n">
        <v>221000</v>
      </c>
      <c r="D6" s="21" t="inlineStr">
        <is>
          <t>penjualan harian</t>
        </is>
      </c>
      <c r="E6" s="21" t="inlineStr">
        <is>
          <t>Penjualan Tunai</t>
        </is>
      </c>
      <c r="F6" s="21" t="inlineStr">
        <is>
          <t>Tunai</t>
        </is>
      </c>
      <c r="G6" s="21" t="inlineStr">
        <is>
          <t>Disetujui</t>
        </is>
      </c>
      <c r="H6" s="21" t="n"/>
      <c r="I6" s="21" t="n"/>
      <c r="J6" s="23">
        <f>IF($A6="","",TEXT($A6,"yyyy-mm"))</f>
        <v/>
      </c>
    </row>
    <row r="7" ht="18" customHeight="1">
      <c r="A7" s="20" t="n">
        <v>46145</v>
      </c>
      <c r="B7" s="21" t="inlineStr">
        <is>
          <t>Keluar</t>
        </is>
      </c>
      <c r="C7" s="22" t="n">
        <v>309000</v>
      </c>
      <c r="D7" s="21" t="inlineStr">
        <is>
          <t>beli bahan baku</t>
        </is>
      </c>
      <c r="E7" s="21" t="inlineStr">
        <is>
          <t>Bahan Baku</t>
        </is>
      </c>
      <c r="F7" s="21" t="inlineStr">
        <is>
          <t>Tunai</t>
        </is>
      </c>
      <c r="G7" s="21" t="inlineStr">
        <is>
          <t>Disetujui</t>
        </is>
      </c>
      <c r="H7" s="21" t="n"/>
      <c r="I7" s="21" t="n"/>
      <c r="J7" s="23">
        <f>IF($A7="","",TEXT($A7,"yyyy-mm"))</f>
        <v/>
      </c>
    </row>
    <row r="8" ht="18" customHeight="1">
      <c r="A8" s="20" t="n">
        <v>46146</v>
      </c>
      <c r="B8" s="21" t="inlineStr">
        <is>
          <t>Masuk</t>
        </is>
      </c>
      <c r="C8" s="22" t="n">
        <v>378000</v>
      </c>
      <c r="D8" s="21" t="inlineStr">
        <is>
          <t>penjualan tunai kasir</t>
        </is>
      </c>
      <c r="E8" s="21" t="inlineStr">
        <is>
          <t>Penjualan Online</t>
        </is>
      </c>
      <c r="F8" s="21" t="inlineStr">
        <is>
          <t>Tunai</t>
        </is>
      </c>
      <c r="G8" s="21" t="inlineStr">
        <is>
          <t>Disetujui</t>
        </is>
      </c>
      <c r="H8" s="21" t="n"/>
      <c r="I8" s="21" t="n"/>
      <c r="J8" s="23">
        <f>IF($A8="","",TEXT($A8,"yyyy-mm"))</f>
        <v/>
      </c>
    </row>
    <row r="9" ht="18" customHeight="1">
      <c r="A9" s="20" t="n">
        <v>46147</v>
      </c>
      <c r="B9" s="21" t="inlineStr">
        <is>
          <t>Masuk</t>
        </is>
      </c>
      <c r="C9" s="22" t="n">
        <v>749000</v>
      </c>
      <c r="D9" s="21" t="inlineStr">
        <is>
          <t>penjualan harian</t>
        </is>
      </c>
      <c r="E9" s="21" t="inlineStr">
        <is>
          <t>Penjualan Tunai</t>
        </is>
      </c>
      <c r="F9" s="21" t="inlineStr">
        <is>
          <t>Tunai</t>
        </is>
      </c>
      <c r="G9" s="21" t="inlineStr">
        <is>
          <t>Disetujui</t>
        </is>
      </c>
      <c r="H9" s="21" t="n"/>
      <c r="I9" s="21" t="n"/>
      <c r="J9" s="23">
        <f>IF($A9="","",TEXT($A9,"yyyy-mm"))</f>
        <v/>
      </c>
    </row>
    <row r="10" ht="18" customHeight="1">
      <c r="A10" s="20" t="n">
        <v>46147</v>
      </c>
      <c r="B10" s="21" t="inlineStr">
        <is>
          <t>Masuk</t>
        </is>
      </c>
      <c r="C10" s="22" t="n">
        <v>376000</v>
      </c>
      <c r="D10" s="21" t="inlineStr">
        <is>
          <t>penjualan tunai kasir</t>
        </is>
      </c>
      <c r="E10" s="21" t="inlineStr">
        <is>
          <t>Penjualan Tunai</t>
        </is>
      </c>
      <c r="F10" s="21" t="inlineStr">
        <is>
          <t>Tunai</t>
        </is>
      </c>
      <c r="G10" s="21" t="inlineStr">
        <is>
          <t>Disetujui</t>
        </is>
      </c>
      <c r="H10" s="21" t="n"/>
      <c r="I10" s="21" t="n"/>
      <c r="J10" s="23">
        <f>IF($A10="","",TEXT($A10,"yyyy-mm"))</f>
        <v/>
      </c>
    </row>
    <row r="11" ht="18" customHeight="1">
      <c r="A11" s="20" t="n">
        <v>46147</v>
      </c>
      <c r="B11" s="21" t="inlineStr">
        <is>
          <t>Keluar</t>
        </is>
      </c>
      <c r="C11" s="22" t="n">
        <v>1500000</v>
      </c>
      <c r="D11" s="21" t="inlineStr">
        <is>
          <t>gaji karyawan</t>
        </is>
      </c>
      <c r="E11" s="21" t="inlineStr">
        <is>
          <t>Gaji &amp; Upah</t>
        </is>
      </c>
      <c r="F11" s="21" t="inlineStr">
        <is>
          <t>Transfer Bank</t>
        </is>
      </c>
      <c r="G11" s="21" t="inlineStr">
        <is>
          <t>Disetujui</t>
        </is>
      </c>
      <c r="H11" s="21" t="n"/>
      <c r="I11" s="21" t="n"/>
      <c r="J11" s="23">
        <f>IF($A11="","",TEXT($A11,"yyyy-mm"))</f>
        <v/>
      </c>
    </row>
    <row r="12" ht="18" customHeight="1">
      <c r="A12" s="20" t="n">
        <v>46147</v>
      </c>
      <c r="B12" s="21" t="inlineStr">
        <is>
          <t>Keluar</t>
        </is>
      </c>
      <c r="C12" s="22" t="n">
        <v>1000000</v>
      </c>
      <c r="D12" s="21" t="inlineStr">
        <is>
          <t>sewa kios</t>
        </is>
      </c>
      <c r="E12" s="21" t="inlineStr">
        <is>
          <t>Sewa Tempat</t>
        </is>
      </c>
      <c r="F12" s="21" t="inlineStr">
        <is>
          <t>Transfer Bank</t>
        </is>
      </c>
      <c r="G12" s="21" t="inlineStr">
        <is>
          <t>Disetujui</t>
        </is>
      </c>
      <c r="H12" s="21" t="n"/>
      <c r="I12" s="21" t="n"/>
      <c r="J12" s="23">
        <f>IF($A12="","",TEXT($A12,"yyyy-mm"))</f>
        <v/>
      </c>
    </row>
    <row r="13" ht="18" customHeight="1">
      <c r="A13" s="20" t="n">
        <v>46148</v>
      </c>
      <c r="B13" s="21" t="inlineStr">
        <is>
          <t>Masuk</t>
        </is>
      </c>
      <c r="C13" s="22" t="n">
        <v>579000</v>
      </c>
      <c r="D13" s="21" t="inlineStr">
        <is>
          <t>penjualan tunai kasir</t>
        </is>
      </c>
      <c r="E13" s="21" t="inlineStr">
        <is>
          <t>Penjualan Tunai</t>
        </is>
      </c>
      <c r="F13" s="21" t="inlineStr">
        <is>
          <t>Tunai</t>
        </is>
      </c>
      <c r="G13" s="21" t="inlineStr">
        <is>
          <t>Disetujui</t>
        </is>
      </c>
      <c r="H13" s="21" t="n"/>
      <c r="I13" s="21" t="n"/>
      <c r="J13" s="23">
        <f>IF($A13="","",TEXT($A13,"yyyy-mm"))</f>
        <v/>
      </c>
    </row>
    <row r="14" ht="18" customHeight="1">
      <c r="A14" s="20" t="n">
        <v>46148</v>
      </c>
      <c r="B14" s="21" t="inlineStr">
        <is>
          <t>Keluar</t>
        </is>
      </c>
      <c r="C14" s="22" t="n">
        <v>306000</v>
      </c>
      <c r="D14" s="21" t="inlineStr">
        <is>
          <t>bensin motor kirim</t>
        </is>
      </c>
      <c r="E14" s="21" t="inlineStr">
        <is>
          <t>Transport &amp; Kirim</t>
        </is>
      </c>
      <c r="F14" s="21" t="inlineStr">
        <is>
          <t>Tunai</t>
        </is>
      </c>
      <c r="G14" s="21" t="inlineStr">
        <is>
          <t>Disetujui</t>
        </is>
      </c>
      <c r="H14" s="21" t="n"/>
      <c r="I14" s="21" t="n"/>
      <c r="J14" s="23">
        <f>IF($A14="","",TEXT($A14,"yyyy-mm"))</f>
        <v/>
      </c>
    </row>
    <row r="15" ht="18" customHeight="1">
      <c r="A15" s="20" t="n">
        <v>46149</v>
      </c>
      <c r="B15" s="21" t="inlineStr">
        <is>
          <t>Masuk</t>
        </is>
      </c>
      <c r="C15" s="22" t="n">
        <v>335000</v>
      </c>
      <c r="D15" s="21" t="inlineStr">
        <is>
          <t>penjualan tunai kasir</t>
        </is>
      </c>
      <c r="E15" s="21" t="inlineStr">
        <is>
          <t>Penjualan Tunai</t>
        </is>
      </c>
      <c r="F15" s="21" t="inlineStr">
        <is>
          <t>Tunai</t>
        </is>
      </c>
      <c r="G15" s="21" t="inlineStr">
        <is>
          <t>Disetujui</t>
        </is>
      </c>
      <c r="H15" s="21" t="n"/>
      <c r="I15" s="21" t="n"/>
      <c r="J15" s="23">
        <f>IF($A15="","",TEXT($A15,"yyyy-mm"))</f>
        <v/>
      </c>
    </row>
    <row r="16" ht="18" customHeight="1">
      <c r="A16" s="20" t="n">
        <v>46149</v>
      </c>
      <c r="B16" s="21" t="inlineStr">
        <is>
          <t>Masuk</t>
        </is>
      </c>
      <c r="C16" s="22" t="n">
        <v>734000</v>
      </c>
      <c r="D16" s="21" t="inlineStr">
        <is>
          <t>jualan warung</t>
        </is>
      </c>
      <c r="E16" s="21" t="inlineStr">
        <is>
          <t>Penjualan Online</t>
        </is>
      </c>
      <c r="F16" s="21" t="inlineStr">
        <is>
          <t>Tunai</t>
        </is>
      </c>
      <c r="G16" s="21" t="inlineStr">
        <is>
          <t>Disetujui</t>
        </is>
      </c>
      <c r="H16" s="21" t="n"/>
      <c r="I16" s="21" t="n"/>
      <c r="J16" s="23">
        <f>IF($A16="","",TEXT($A16,"yyyy-mm"))</f>
        <v/>
      </c>
    </row>
    <row r="17" ht="18" customHeight="1">
      <c r="A17" s="20" t="n">
        <v>46149</v>
      </c>
      <c r="B17" s="21" t="inlineStr">
        <is>
          <t>Keluar</t>
        </is>
      </c>
      <c r="C17" s="22" t="n">
        <v>52000</v>
      </c>
      <c r="D17" s="21" t="inlineStr">
        <is>
          <t>pulsa internet</t>
        </is>
      </c>
      <c r="E17" s="21" t="inlineStr">
        <is>
          <t>Pulsa &amp; Internet</t>
        </is>
      </c>
      <c r="F17" s="21" t="inlineStr">
        <is>
          <t>Tunai</t>
        </is>
      </c>
      <c r="G17" s="21" t="inlineStr">
        <is>
          <t>Disetujui</t>
        </is>
      </c>
      <c r="H17" s="21" t="n"/>
      <c r="I17" s="21" t="n"/>
      <c r="J17" s="23">
        <f>IF($A17="","",TEXT($A17,"yyyy-mm"))</f>
        <v/>
      </c>
    </row>
    <row r="18" ht="18" customHeight="1">
      <c r="A18" s="20" t="n">
        <v>46150</v>
      </c>
      <c r="B18" s="21" t="inlineStr">
        <is>
          <t>Masuk</t>
        </is>
      </c>
      <c r="C18" s="22" t="n">
        <v>211000</v>
      </c>
      <c r="D18" s="21" t="inlineStr">
        <is>
          <t>jualan warung</t>
        </is>
      </c>
      <c r="E18" s="21" t="inlineStr">
        <is>
          <t>Penjualan Online</t>
        </is>
      </c>
      <c r="F18" s="21" t="inlineStr">
        <is>
          <t>Tunai</t>
        </is>
      </c>
      <c r="G18" s="21" t="inlineStr">
        <is>
          <t>Disetujui</t>
        </is>
      </c>
      <c r="H18" s="21" t="n"/>
      <c r="I18" s="21" t="n"/>
      <c r="J18" s="23">
        <f>IF($A18="","",TEXT($A18,"yyyy-mm"))</f>
        <v/>
      </c>
    </row>
    <row r="19" ht="18" customHeight="1">
      <c r="A19" s="20" t="n">
        <v>46150</v>
      </c>
      <c r="B19" s="21" t="inlineStr">
        <is>
          <t>Masuk</t>
        </is>
      </c>
      <c r="C19" s="22" t="n">
        <v>658000</v>
      </c>
      <c r="D19" s="21" t="inlineStr">
        <is>
          <t>penjualan tunai kasir</t>
        </is>
      </c>
      <c r="E19" s="21" t="inlineStr">
        <is>
          <t>Penjualan Online</t>
        </is>
      </c>
      <c r="F19" s="21" t="inlineStr">
        <is>
          <t>Tunai</t>
        </is>
      </c>
      <c r="G19" s="21" t="inlineStr">
        <is>
          <t>Disetujui</t>
        </is>
      </c>
      <c r="H19" s="21" t="n"/>
      <c r="I19" s="21" t="n"/>
      <c r="J19" s="23">
        <f>IF($A19="","",TEXT($A19,"yyyy-mm"))</f>
        <v/>
      </c>
    </row>
    <row r="20" ht="18" customHeight="1">
      <c r="A20" s="20" t="n">
        <v>46150</v>
      </c>
      <c r="B20" s="21" t="inlineStr">
        <is>
          <t>Keluar</t>
        </is>
      </c>
      <c r="C20" s="22" t="n">
        <v>258000</v>
      </c>
      <c r="D20" s="21" t="inlineStr">
        <is>
          <t>bensin motor kirim</t>
        </is>
      </c>
      <c r="E20" s="21" t="inlineStr">
        <is>
          <t>Transport &amp; Kirim</t>
        </is>
      </c>
      <c r="F20" s="21" t="inlineStr">
        <is>
          <t>Tunai</t>
        </is>
      </c>
      <c r="G20" s="21" t="inlineStr">
        <is>
          <t>Disetujui</t>
        </is>
      </c>
      <c r="H20" s="21" t="n"/>
      <c r="I20" s="21" t="n"/>
      <c r="J20" s="23">
        <f>IF($A20="","",TEXT($A20,"yyyy-mm"))</f>
        <v/>
      </c>
    </row>
    <row r="21" ht="18" customHeight="1">
      <c r="A21" s="20" t="n">
        <v>46151</v>
      </c>
      <c r="B21" s="21" t="inlineStr">
        <is>
          <t>Masuk</t>
        </is>
      </c>
      <c r="C21" s="22" t="n">
        <v>614000</v>
      </c>
      <c r="D21" s="21" t="inlineStr">
        <is>
          <t>pesanan online</t>
        </is>
      </c>
      <c r="E21" s="21" t="inlineStr">
        <is>
          <t>Penjualan Tunai</t>
        </is>
      </c>
      <c r="F21" s="21" t="inlineStr">
        <is>
          <t>Tunai</t>
        </is>
      </c>
      <c r="G21" s="21" t="inlineStr">
        <is>
          <t>Disetujui</t>
        </is>
      </c>
      <c r="H21" s="21" t="n"/>
      <c r="I21" s="21" t="n"/>
      <c r="J21" s="23">
        <f>IF($A21="","",TEXT($A21,"yyyy-mm"))</f>
        <v/>
      </c>
    </row>
    <row r="22" ht="18" customHeight="1">
      <c r="A22" s="20" t="n">
        <v>46151</v>
      </c>
      <c r="B22" s="21" t="inlineStr">
        <is>
          <t>Masuk</t>
        </is>
      </c>
      <c r="C22" s="22" t="n">
        <v>404000</v>
      </c>
      <c r="D22" s="21" t="inlineStr">
        <is>
          <t>jualan warung</t>
        </is>
      </c>
      <c r="E22" s="21" t="inlineStr">
        <is>
          <t>Penjualan Tunai</t>
        </is>
      </c>
      <c r="F22" s="21" t="inlineStr">
        <is>
          <t>Tunai</t>
        </is>
      </c>
      <c r="G22" s="21" t="inlineStr">
        <is>
          <t>Disetujui</t>
        </is>
      </c>
      <c r="H22" s="21" t="n"/>
      <c r="I22" s="21" t="n"/>
      <c r="J22" s="23">
        <f>IF($A22="","",TEXT($A22,"yyyy-mm"))</f>
        <v/>
      </c>
    </row>
    <row r="23" ht="18" customHeight="1">
      <c r="A23" s="20" t="n">
        <v>46151</v>
      </c>
      <c r="B23" s="21" t="inlineStr">
        <is>
          <t>Keluar</t>
        </is>
      </c>
      <c r="C23" s="22" t="n">
        <v>288000</v>
      </c>
      <c r="D23" s="21" t="inlineStr">
        <is>
          <t>bensin motor kirim</t>
        </is>
      </c>
      <c r="E23" s="21" t="inlineStr">
        <is>
          <t>Transport &amp; Kirim</t>
        </is>
      </c>
      <c r="F23" s="21" t="inlineStr">
        <is>
          <t>Tunai</t>
        </is>
      </c>
      <c r="G23" s="21" t="inlineStr">
        <is>
          <t>Disetujui</t>
        </is>
      </c>
      <c r="H23" s="21" t="n"/>
      <c r="I23" s="21" t="n"/>
      <c r="J23" s="23">
        <f>IF($A23="","",TEXT($A23,"yyyy-mm"))</f>
        <v/>
      </c>
    </row>
    <row r="24" ht="18" customHeight="1">
      <c r="A24" s="20" t="n">
        <v>46152</v>
      </c>
      <c r="B24" s="21" t="inlineStr">
        <is>
          <t>Masuk</t>
        </is>
      </c>
      <c r="C24" s="22" t="n">
        <v>501000</v>
      </c>
      <c r="D24" s="21" t="inlineStr">
        <is>
          <t>jualan sore</t>
        </is>
      </c>
      <c r="E24" s="21" t="inlineStr">
        <is>
          <t>Penjualan Online</t>
        </is>
      </c>
      <c r="F24" s="21" t="inlineStr">
        <is>
          <t>Tunai</t>
        </is>
      </c>
      <c r="G24" s="21" t="inlineStr">
        <is>
          <t>Disetujui</t>
        </is>
      </c>
      <c r="H24" s="21" t="n"/>
      <c r="I24" s="21" t="n"/>
      <c r="J24" s="23">
        <f>IF($A24="","",TEXT($A24,"yyyy-mm"))</f>
        <v/>
      </c>
    </row>
    <row r="25" ht="18" customHeight="1">
      <c r="A25" s="20" t="n">
        <v>46152</v>
      </c>
      <c r="B25" s="21" t="inlineStr">
        <is>
          <t>Keluar</t>
        </is>
      </c>
      <c r="C25" s="22" t="n">
        <v>80000</v>
      </c>
      <c r="D25" s="21" t="inlineStr">
        <is>
          <t>beli bahan baku</t>
        </is>
      </c>
      <c r="E25" s="21" t="inlineStr">
        <is>
          <t>Bahan Baku</t>
        </is>
      </c>
      <c r="F25" s="21" t="inlineStr">
        <is>
          <t>Tunai</t>
        </is>
      </c>
      <c r="G25" s="21" t="inlineStr">
        <is>
          <t>Disetujui</t>
        </is>
      </c>
      <c r="H25" s="21" t="n"/>
      <c r="I25" s="21" t="n"/>
      <c r="J25" s="23">
        <f>IF($A25="","",TEXT($A25,"yyyy-mm"))</f>
        <v/>
      </c>
    </row>
    <row r="26" ht="18" customHeight="1">
      <c r="A26" s="20" t="n">
        <v>46152</v>
      </c>
      <c r="B26" s="21" t="inlineStr">
        <is>
          <t>Keluar</t>
        </is>
      </c>
      <c r="C26" s="22" t="n">
        <v>320000</v>
      </c>
      <c r="D26" s="21" t="inlineStr">
        <is>
          <t>bayar listrik &amp; air</t>
        </is>
      </c>
      <c r="E26" s="21" t="inlineStr">
        <is>
          <t>Listrik &amp; Air</t>
        </is>
      </c>
      <c r="F26" s="21" t="inlineStr">
        <is>
          <t>Transfer Bank</t>
        </is>
      </c>
      <c r="G26" s="21" t="inlineStr">
        <is>
          <t>Disetujui</t>
        </is>
      </c>
      <c r="H26" s="21" t="n"/>
      <c r="I26" s="21" t="n"/>
      <c r="J26" s="23">
        <f>IF($A26="","",TEXT($A26,"yyyy-mm"))</f>
        <v/>
      </c>
    </row>
    <row r="27" ht="18" customHeight="1">
      <c r="A27" s="20" t="n">
        <v>46153</v>
      </c>
      <c r="B27" s="21" t="inlineStr">
        <is>
          <t>Masuk</t>
        </is>
      </c>
      <c r="C27" s="22" t="n">
        <v>578000</v>
      </c>
      <c r="D27" s="21" t="inlineStr">
        <is>
          <t>pesanan online</t>
        </is>
      </c>
      <c r="E27" s="21" t="inlineStr">
        <is>
          <t>Penjualan Tunai</t>
        </is>
      </c>
      <c r="F27" s="21" t="inlineStr">
        <is>
          <t>Tunai</t>
        </is>
      </c>
      <c r="G27" s="21" t="inlineStr">
        <is>
          <t>Disetujui</t>
        </is>
      </c>
      <c r="H27" s="21" t="n"/>
      <c r="I27" s="21" t="n"/>
      <c r="J27" s="23">
        <f>IF($A27="","",TEXT($A27,"yyyy-mm"))</f>
        <v/>
      </c>
    </row>
    <row r="28" ht="18" customHeight="1">
      <c r="A28" s="20" t="n">
        <v>46153</v>
      </c>
      <c r="B28" s="21" t="inlineStr">
        <is>
          <t>Masuk</t>
        </is>
      </c>
      <c r="C28" s="22" t="n">
        <v>305000</v>
      </c>
      <c r="D28" s="21" t="inlineStr">
        <is>
          <t>jualan sore</t>
        </is>
      </c>
      <c r="E28" s="21" t="inlineStr">
        <is>
          <t>Penjualan Tunai</t>
        </is>
      </c>
      <c r="F28" s="21" t="inlineStr">
        <is>
          <t>Tunai</t>
        </is>
      </c>
      <c r="G28" s="21" t="inlineStr">
        <is>
          <t>Disetujui</t>
        </is>
      </c>
      <c r="H28" s="21" t="n"/>
      <c r="I28" s="21" t="n"/>
      <c r="J28" s="23">
        <f>IF($A28="","",TEXT($A28,"yyyy-mm"))</f>
        <v/>
      </c>
    </row>
    <row r="29" ht="18" customHeight="1">
      <c r="A29" s="20" t="n">
        <v>46153</v>
      </c>
      <c r="B29" s="21" t="inlineStr">
        <is>
          <t>Keluar</t>
        </is>
      </c>
      <c r="C29" s="22" t="n">
        <v>59000</v>
      </c>
      <c r="D29" s="21" t="inlineStr">
        <is>
          <t>beli stok minuman</t>
        </is>
      </c>
      <c r="E29" s="21" t="inlineStr">
        <is>
          <t>Barang Dagang</t>
        </is>
      </c>
      <c r="F29" s="21" t="inlineStr">
        <is>
          <t>Tunai</t>
        </is>
      </c>
      <c r="G29" s="21" t="inlineStr">
        <is>
          <t>Disetujui</t>
        </is>
      </c>
      <c r="H29" s="21" t="n"/>
      <c r="I29" s="21" t="n"/>
      <c r="J29" s="23">
        <f>IF($A29="","",TEXT($A29,"yyyy-mm"))</f>
        <v/>
      </c>
    </row>
    <row r="30" ht="18" customHeight="1">
      <c r="A30" s="20" t="n">
        <v>46154</v>
      </c>
      <c r="B30" s="21" t="inlineStr">
        <is>
          <t>Masuk</t>
        </is>
      </c>
      <c r="C30" s="22" t="n">
        <v>736000</v>
      </c>
      <c r="D30" s="21" t="inlineStr">
        <is>
          <t>pesanan online</t>
        </is>
      </c>
      <c r="E30" s="21" t="inlineStr">
        <is>
          <t>Penjualan Tunai</t>
        </is>
      </c>
      <c r="F30" s="21" t="inlineStr">
        <is>
          <t>Tunai</t>
        </is>
      </c>
      <c r="G30" s="21" t="inlineStr">
        <is>
          <t>Disetujui</t>
        </is>
      </c>
      <c r="H30" s="21" t="n"/>
      <c r="I30" s="21" t="n"/>
      <c r="J30" s="23">
        <f>IF($A30="","",TEXT($A30,"yyyy-mm"))</f>
        <v/>
      </c>
    </row>
    <row r="31" ht="18" customHeight="1">
      <c r="A31" s="20" t="n">
        <v>46154</v>
      </c>
      <c r="B31" s="21" t="inlineStr">
        <is>
          <t>Masuk</t>
        </is>
      </c>
      <c r="C31" s="22" t="n">
        <v>861000</v>
      </c>
      <c r="D31" s="21" t="inlineStr">
        <is>
          <t>penjualan tunai kasir</t>
        </is>
      </c>
      <c r="E31" s="21" t="inlineStr">
        <is>
          <t>Penjualan Tunai</t>
        </is>
      </c>
      <c r="F31" s="21" t="inlineStr">
        <is>
          <t>Tunai</t>
        </is>
      </c>
      <c r="G31" s="21" t="inlineStr">
        <is>
          <t>Disetujui</t>
        </is>
      </c>
      <c r="H31" s="21" t="n"/>
      <c r="I31" s="21" t="n"/>
      <c r="J31" s="23">
        <f>IF($A31="","",TEXT($A31,"yyyy-mm"))</f>
        <v/>
      </c>
    </row>
    <row r="32" ht="18" customHeight="1">
      <c r="A32" s="20" t="n">
        <v>46154</v>
      </c>
      <c r="B32" s="21" t="inlineStr">
        <is>
          <t>Keluar</t>
        </is>
      </c>
      <c r="C32" s="22" t="n">
        <v>55000</v>
      </c>
      <c r="D32" s="21" t="inlineStr">
        <is>
          <t>beli plastik kemasan</t>
        </is>
      </c>
      <c r="E32" s="21" t="inlineStr">
        <is>
          <t>Kemasan</t>
        </is>
      </c>
      <c r="F32" s="21" t="inlineStr">
        <is>
          <t>Tunai</t>
        </is>
      </c>
      <c r="G32" s="21" t="inlineStr">
        <is>
          <t>Disetujui</t>
        </is>
      </c>
      <c r="H32" s="21" t="n"/>
      <c r="I32" s="21" t="n"/>
      <c r="J32" s="23">
        <f>IF($A32="","",TEXT($A32,"yyyy-mm"))</f>
        <v/>
      </c>
    </row>
    <row r="33" ht="18" customHeight="1">
      <c r="A33" s="20" t="n">
        <v>46155</v>
      </c>
      <c r="B33" s="21" t="inlineStr">
        <is>
          <t>Masuk</t>
        </is>
      </c>
      <c r="C33" s="22" t="n">
        <v>426000</v>
      </c>
      <c r="D33" s="21" t="inlineStr">
        <is>
          <t>penjualan harian</t>
        </is>
      </c>
      <c r="E33" s="21" t="inlineStr">
        <is>
          <t>Penjualan Tunai</t>
        </is>
      </c>
      <c r="F33" s="21" t="inlineStr">
        <is>
          <t>Tunai</t>
        </is>
      </c>
      <c r="G33" s="21" t="inlineStr">
        <is>
          <t>Disetujui</t>
        </is>
      </c>
      <c r="H33" s="21" t="n"/>
      <c r="I33" s="21" t="n"/>
      <c r="J33" s="23">
        <f>IF($A33="","",TEXT($A33,"yyyy-mm"))</f>
        <v/>
      </c>
    </row>
    <row r="34" ht="18" customHeight="1">
      <c r="A34" s="20" t="n">
        <v>46155</v>
      </c>
      <c r="B34" s="21" t="inlineStr">
        <is>
          <t>Keluar</t>
        </is>
      </c>
      <c r="C34" s="22" t="n">
        <v>178000</v>
      </c>
      <c r="D34" s="21" t="inlineStr">
        <is>
          <t>beli stok minuman</t>
        </is>
      </c>
      <c r="E34" s="21" t="inlineStr">
        <is>
          <t>Barang Dagang</t>
        </is>
      </c>
      <c r="F34" s="21" t="inlineStr">
        <is>
          <t>Tunai</t>
        </is>
      </c>
      <c r="G34" s="21" t="inlineStr">
        <is>
          <t>Disetujui</t>
        </is>
      </c>
      <c r="H34" s="21" t="n"/>
      <c r="I34" s="21" t="n"/>
      <c r="J34" s="23">
        <f>IF($A34="","",TEXT($A34,"yyyy-mm"))</f>
        <v/>
      </c>
    </row>
    <row r="35" ht="18" customHeight="1">
      <c r="A35" s="20" t="n">
        <v>46156</v>
      </c>
      <c r="B35" s="21" t="inlineStr">
        <is>
          <t>Masuk</t>
        </is>
      </c>
      <c r="C35" s="22" t="n">
        <v>741000</v>
      </c>
      <c r="D35" s="21" t="inlineStr">
        <is>
          <t>jualan sore</t>
        </is>
      </c>
      <c r="E35" s="21" t="inlineStr">
        <is>
          <t>Penjualan Online</t>
        </is>
      </c>
      <c r="F35" s="21" t="inlineStr">
        <is>
          <t>Tunai</t>
        </is>
      </c>
      <c r="G35" s="21" t="inlineStr">
        <is>
          <t>Disetujui</t>
        </is>
      </c>
      <c r="H35" s="21" t="n"/>
      <c r="I35" s="21" t="n"/>
      <c r="J35" s="23">
        <f>IF($A35="","",TEXT($A35,"yyyy-mm"))</f>
        <v/>
      </c>
    </row>
    <row r="36" ht="18" customHeight="1">
      <c r="A36" s="20" t="n">
        <v>46156</v>
      </c>
      <c r="B36" s="21" t="inlineStr">
        <is>
          <t>Masuk</t>
        </is>
      </c>
      <c r="C36" s="22" t="n">
        <v>441000</v>
      </c>
      <c r="D36" s="21" t="inlineStr">
        <is>
          <t>jualan sore</t>
        </is>
      </c>
      <c r="E36" s="21" t="inlineStr">
        <is>
          <t>Penjualan Online</t>
        </is>
      </c>
      <c r="F36" s="21" t="inlineStr">
        <is>
          <t>Tunai</t>
        </is>
      </c>
      <c r="G36" s="21" t="inlineStr">
        <is>
          <t>Disetujui</t>
        </is>
      </c>
      <c r="H36" s="21" t="n"/>
      <c r="I36" s="21" t="n"/>
      <c r="J36" s="23">
        <f>IF($A36="","",TEXT($A36,"yyyy-mm"))</f>
        <v/>
      </c>
    </row>
    <row r="37" ht="18" customHeight="1">
      <c r="A37" s="20" t="n">
        <v>46157</v>
      </c>
      <c r="B37" s="21" t="inlineStr">
        <is>
          <t>Masuk</t>
        </is>
      </c>
      <c r="C37" s="22" t="n">
        <v>173000</v>
      </c>
      <c r="D37" s="21" t="inlineStr">
        <is>
          <t>pesanan online</t>
        </is>
      </c>
      <c r="E37" s="21" t="inlineStr">
        <is>
          <t>Penjualan Tunai</t>
        </is>
      </c>
      <c r="F37" s="21" t="inlineStr">
        <is>
          <t>Tunai</t>
        </is>
      </c>
      <c r="G37" s="21" t="inlineStr">
        <is>
          <t>Disetujui</t>
        </is>
      </c>
      <c r="H37" s="21" t="n"/>
      <c r="I37" s="21" t="n"/>
      <c r="J37" s="23">
        <f>IF($A37="","",TEXT($A37,"yyyy-mm"))</f>
        <v/>
      </c>
    </row>
    <row r="38" ht="18" customHeight="1">
      <c r="A38" s="20" t="n">
        <v>46157</v>
      </c>
      <c r="B38" s="21" t="inlineStr">
        <is>
          <t>Keluar</t>
        </is>
      </c>
      <c r="C38" s="22" t="n">
        <v>272000</v>
      </c>
      <c r="D38" s="21" t="inlineStr">
        <is>
          <t>beli bahan baku</t>
        </is>
      </c>
      <c r="E38" s="21" t="inlineStr">
        <is>
          <t>Bahan Baku</t>
        </is>
      </c>
      <c r="F38" s="21" t="inlineStr">
        <is>
          <t>Tunai</t>
        </is>
      </c>
      <c r="G38" s="21" t="inlineStr">
        <is>
          <t>Disetujui</t>
        </is>
      </c>
      <c r="H38" s="21" t="n"/>
      <c r="I38" s="21" t="n"/>
      <c r="J38" s="23">
        <f>IF($A38="","",TEXT($A38,"yyyy-mm"))</f>
        <v/>
      </c>
    </row>
    <row r="39" ht="18" customHeight="1">
      <c r="A39" s="20" t="n">
        <v>46158</v>
      </c>
      <c r="B39" s="21" t="inlineStr">
        <is>
          <t>Masuk</t>
        </is>
      </c>
      <c r="C39" s="22" t="n">
        <v>373000</v>
      </c>
      <c r="D39" s="21" t="inlineStr">
        <is>
          <t>jualan warung</t>
        </is>
      </c>
      <c r="E39" s="21" t="inlineStr">
        <is>
          <t>Penjualan Tunai</t>
        </is>
      </c>
      <c r="F39" s="21" t="inlineStr">
        <is>
          <t>Tunai</t>
        </is>
      </c>
      <c r="G39" s="21" t="inlineStr">
        <is>
          <t>Disetujui</t>
        </is>
      </c>
      <c r="H39" s="21" t="n"/>
      <c r="I39" s="21" t="n"/>
      <c r="J39" s="23">
        <f>IF($A39="","",TEXT($A39,"yyyy-mm"))</f>
        <v/>
      </c>
    </row>
    <row r="40" ht="18" customHeight="1">
      <c r="A40" s="20" t="n">
        <v>46158</v>
      </c>
      <c r="B40" s="21" t="inlineStr">
        <is>
          <t>Keluar</t>
        </is>
      </c>
      <c r="C40" s="22" t="n">
        <v>220000</v>
      </c>
      <c r="D40" s="21" t="inlineStr">
        <is>
          <t>beli plastik kemasan</t>
        </is>
      </c>
      <c r="E40" s="21" t="inlineStr">
        <is>
          <t>Kemasan</t>
        </is>
      </c>
      <c r="F40" s="21" t="inlineStr">
        <is>
          <t>Tunai</t>
        </is>
      </c>
      <c r="G40" s="21" t="inlineStr">
        <is>
          <t>Disetujui</t>
        </is>
      </c>
      <c r="H40" s="21" t="n"/>
      <c r="I40" s="21" t="n"/>
      <c r="J40" s="23">
        <f>IF($A40="","",TEXT($A40,"yyyy-mm"))</f>
        <v/>
      </c>
    </row>
    <row r="41" ht="18" customHeight="1">
      <c r="A41" s="20" t="n">
        <v>46159</v>
      </c>
      <c r="B41" s="21" t="inlineStr">
        <is>
          <t>Masuk</t>
        </is>
      </c>
      <c r="C41" s="22" t="n">
        <v>232000</v>
      </c>
      <c r="D41" s="21" t="inlineStr">
        <is>
          <t>jualan sore</t>
        </is>
      </c>
      <c r="E41" s="21" t="inlineStr">
        <is>
          <t>Penjualan Tunai</t>
        </is>
      </c>
      <c r="F41" s="21" t="inlineStr">
        <is>
          <t>Tunai</t>
        </is>
      </c>
      <c r="G41" s="21" t="inlineStr">
        <is>
          <t>Disetujui</t>
        </is>
      </c>
      <c r="H41" s="21" t="n"/>
      <c r="I41" s="21" t="n"/>
      <c r="J41" s="23">
        <f>IF($A41="","",TEXT($A41,"yyyy-mm"))</f>
        <v/>
      </c>
    </row>
    <row r="42" ht="18" customHeight="1">
      <c r="A42" s="20" t="n">
        <v>46159</v>
      </c>
      <c r="B42" s="21" t="inlineStr">
        <is>
          <t>Keluar</t>
        </is>
      </c>
      <c r="C42" s="22" t="n">
        <v>90000</v>
      </c>
      <c r="D42" s="21" t="inlineStr">
        <is>
          <t>bensin motor kirim</t>
        </is>
      </c>
      <c r="E42" s="21" t="inlineStr">
        <is>
          <t>Transport &amp; Kirim</t>
        </is>
      </c>
      <c r="F42" s="21" t="inlineStr">
        <is>
          <t>Tunai</t>
        </is>
      </c>
      <c r="G42" s="21" t="inlineStr">
        <is>
          <t>Disetujui</t>
        </is>
      </c>
      <c r="H42" s="21" t="n"/>
      <c r="I42" s="21" t="n"/>
      <c r="J42" s="23">
        <f>IF($A42="","",TEXT($A42,"yyyy-mm"))</f>
        <v/>
      </c>
    </row>
    <row r="43" ht="18" customHeight="1">
      <c r="A43" s="20" t="n">
        <v>46160</v>
      </c>
      <c r="B43" s="21" t="inlineStr">
        <is>
          <t>Masuk</t>
        </is>
      </c>
      <c r="C43" s="22" t="n">
        <v>713000</v>
      </c>
      <c r="D43" s="21" t="inlineStr">
        <is>
          <t>jualan sore</t>
        </is>
      </c>
      <c r="E43" s="21" t="inlineStr">
        <is>
          <t>Penjualan Tunai</t>
        </is>
      </c>
      <c r="F43" s="21" t="inlineStr">
        <is>
          <t>Tunai</t>
        </is>
      </c>
      <c r="G43" s="21" t="inlineStr">
        <is>
          <t>Disetujui</t>
        </is>
      </c>
      <c r="H43" s="21" t="n"/>
      <c r="I43" s="21" t="n"/>
      <c r="J43" s="23">
        <f>IF($A43="","",TEXT($A43,"yyyy-mm"))</f>
        <v/>
      </c>
    </row>
    <row r="44" ht="18" customHeight="1">
      <c r="A44" s="20" t="n">
        <v>46161</v>
      </c>
      <c r="B44" s="21" t="inlineStr">
        <is>
          <t>Masuk</t>
        </is>
      </c>
      <c r="C44" s="22" t="n">
        <v>539000</v>
      </c>
      <c r="D44" s="21" t="inlineStr">
        <is>
          <t>jualan warung</t>
        </is>
      </c>
      <c r="E44" s="21" t="inlineStr">
        <is>
          <t>Penjualan Tunai</t>
        </is>
      </c>
      <c r="F44" s="21" t="inlineStr">
        <is>
          <t>Tunai</t>
        </is>
      </c>
      <c r="G44" s="21" t="inlineStr">
        <is>
          <t>Disetujui</t>
        </is>
      </c>
      <c r="H44" s="21" t="n"/>
      <c r="I44" s="21" t="n"/>
      <c r="J44" s="23">
        <f>IF($A44="","",TEXT($A44,"yyyy-mm"))</f>
        <v/>
      </c>
    </row>
    <row r="45" ht="18" customHeight="1">
      <c r="A45" s="20" t="n">
        <v>46161</v>
      </c>
      <c r="B45" s="21" t="inlineStr">
        <is>
          <t>Masuk</t>
        </is>
      </c>
      <c r="C45" s="22" t="n">
        <v>234000</v>
      </c>
      <c r="D45" s="21" t="inlineStr">
        <is>
          <t>jualan warung</t>
        </is>
      </c>
      <c r="E45" s="21" t="inlineStr">
        <is>
          <t>Penjualan Tunai</t>
        </is>
      </c>
      <c r="F45" s="21" t="inlineStr">
        <is>
          <t>Tunai</t>
        </is>
      </c>
      <c r="G45" s="21" t="inlineStr">
        <is>
          <t>Disetujui</t>
        </is>
      </c>
      <c r="H45" s="21" t="n"/>
      <c r="I45" s="21" t="n"/>
      <c r="J45" s="23">
        <f>IF($A45="","",TEXT($A45,"yyyy-mm"))</f>
        <v/>
      </c>
    </row>
    <row r="46" ht="18" customHeight="1">
      <c r="A46" s="20" t="n">
        <v>46161</v>
      </c>
      <c r="B46" s="21" t="inlineStr">
        <is>
          <t>Keluar</t>
        </is>
      </c>
      <c r="C46" s="22" t="n">
        <v>26000</v>
      </c>
      <c r="D46" s="21" t="inlineStr">
        <is>
          <t>belanja pasar</t>
        </is>
      </c>
      <c r="E46" s="21" t="inlineStr">
        <is>
          <t>Bahan Baku</t>
        </is>
      </c>
      <c r="F46" s="21" t="inlineStr">
        <is>
          <t>Tunai</t>
        </is>
      </c>
      <c r="G46" s="21" t="inlineStr">
        <is>
          <t>Disetujui</t>
        </is>
      </c>
      <c r="H46" s="21" t="n"/>
      <c r="I46" s="21" t="n"/>
      <c r="J46" s="23">
        <f>IF($A46="","",TEXT($A46,"yyyy-mm"))</f>
        <v/>
      </c>
    </row>
    <row r="47" ht="18" customHeight="1">
      <c r="A47" s="20" t="n">
        <v>46162</v>
      </c>
      <c r="B47" s="21" t="inlineStr">
        <is>
          <t>Masuk</t>
        </is>
      </c>
      <c r="C47" s="22" t="n">
        <v>753000</v>
      </c>
      <c r="D47" s="21" t="inlineStr">
        <is>
          <t>pesanan online</t>
        </is>
      </c>
      <c r="E47" s="21" t="inlineStr">
        <is>
          <t>Penjualan Tunai</t>
        </is>
      </c>
      <c r="F47" s="21" t="inlineStr">
        <is>
          <t>Tunai</t>
        </is>
      </c>
      <c r="G47" s="21" t="inlineStr">
        <is>
          <t>Disetujui</t>
        </is>
      </c>
      <c r="H47" s="21" t="n"/>
      <c r="I47" s="21" t="n"/>
      <c r="J47" s="23">
        <f>IF($A47="","",TEXT($A47,"yyyy-mm"))</f>
        <v/>
      </c>
    </row>
    <row r="48" ht="18" customHeight="1">
      <c r="A48" s="20" t="n">
        <v>46162</v>
      </c>
      <c r="B48" s="21" t="inlineStr">
        <is>
          <t>Keluar</t>
        </is>
      </c>
      <c r="C48" s="22" t="n">
        <v>234000</v>
      </c>
      <c r="D48" s="21" t="inlineStr">
        <is>
          <t>belanja pasar</t>
        </is>
      </c>
      <c r="E48" s="21" t="inlineStr">
        <is>
          <t>Bahan Baku</t>
        </is>
      </c>
      <c r="F48" s="21" t="inlineStr">
        <is>
          <t>Tunai</t>
        </is>
      </c>
      <c r="G48" s="21" t="inlineStr">
        <is>
          <t>Disetujui</t>
        </is>
      </c>
      <c r="H48" s="21" t="n"/>
      <c r="I48" s="21" t="n"/>
      <c r="J48" s="23">
        <f>IF($A48="","",TEXT($A48,"yyyy-mm"))</f>
        <v/>
      </c>
    </row>
    <row r="49" ht="18" customHeight="1">
      <c r="A49" s="20" t="n">
        <v>46163</v>
      </c>
      <c r="B49" s="21" t="inlineStr">
        <is>
          <t>Masuk</t>
        </is>
      </c>
      <c r="C49" s="22" t="n">
        <v>528000</v>
      </c>
      <c r="D49" s="21" t="inlineStr">
        <is>
          <t>penjualan tunai kasir</t>
        </is>
      </c>
      <c r="E49" s="21" t="inlineStr">
        <is>
          <t>Penjualan Online</t>
        </is>
      </c>
      <c r="F49" s="21" t="inlineStr">
        <is>
          <t>Tunai</t>
        </is>
      </c>
      <c r="G49" s="21" t="inlineStr">
        <is>
          <t>Disetujui</t>
        </is>
      </c>
      <c r="H49" s="21" t="n"/>
      <c r="I49" s="21" t="n"/>
      <c r="J49" s="23">
        <f>IF($A49="","",TEXT($A49,"yyyy-mm"))</f>
        <v/>
      </c>
    </row>
    <row r="50" ht="18" customHeight="1">
      <c r="A50" s="20" t="n">
        <v>46163</v>
      </c>
      <c r="B50" s="21" t="inlineStr">
        <is>
          <t>Masuk</t>
        </is>
      </c>
      <c r="C50" s="22" t="n">
        <v>476000</v>
      </c>
      <c r="D50" s="21" t="inlineStr">
        <is>
          <t>penjualan tunai kasir</t>
        </is>
      </c>
      <c r="E50" s="21" t="inlineStr">
        <is>
          <t>Penjualan Tunai</t>
        </is>
      </c>
      <c r="F50" s="21" t="inlineStr">
        <is>
          <t>Tunai</t>
        </is>
      </c>
      <c r="G50" s="21" t="inlineStr">
        <is>
          <t>Disetujui</t>
        </is>
      </c>
      <c r="H50" s="21" t="n"/>
      <c r="I50" s="21" t="n"/>
      <c r="J50" s="23">
        <f>IF($A50="","",TEXT($A50,"yyyy-mm"))</f>
        <v/>
      </c>
    </row>
    <row r="51" ht="18" customHeight="1">
      <c r="A51" s="20" t="n">
        <v>46164</v>
      </c>
      <c r="B51" s="21" t="inlineStr">
        <is>
          <t>Masuk</t>
        </is>
      </c>
      <c r="C51" s="22" t="n">
        <v>842000</v>
      </c>
      <c r="D51" s="21" t="inlineStr">
        <is>
          <t>penjualan harian</t>
        </is>
      </c>
      <c r="E51" s="21" t="inlineStr">
        <is>
          <t>Penjualan Online</t>
        </is>
      </c>
      <c r="F51" s="21" t="inlineStr">
        <is>
          <t>Tunai</t>
        </is>
      </c>
      <c r="G51" s="21" t="inlineStr">
        <is>
          <t>Disetujui</t>
        </is>
      </c>
      <c r="H51" s="21" t="n"/>
      <c r="I51" s="21" t="n"/>
      <c r="J51" s="23">
        <f>IF($A51="","",TEXT($A51,"yyyy-mm"))</f>
        <v/>
      </c>
    </row>
    <row r="52" ht="18" customHeight="1">
      <c r="A52" s="20" t="n">
        <v>46164</v>
      </c>
      <c r="B52" s="21" t="inlineStr">
        <is>
          <t>Masuk</t>
        </is>
      </c>
      <c r="C52" s="22" t="n">
        <v>617000</v>
      </c>
      <c r="D52" s="21" t="inlineStr">
        <is>
          <t>penjualan tunai kasir</t>
        </is>
      </c>
      <c r="E52" s="21" t="inlineStr">
        <is>
          <t>Penjualan Online</t>
        </is>
      </c>
      <c r="F52" s="21" t="inlineStr">
        <is>
          <t>Tunai</t>
        </is>
      </c>
      <c r="G52" s="21" t="inlineStr">
        <is>
          <t>Disetujui</t>
        </is>
      </c>
      <c r="H52" s="21" t="n"/>
      <c r="I52" s="21" t="n"/>
      <c r="J52" s="23">
        <f>IF($A52="","",TEXT($A52,"yyyy-mm"))</f>
        <v/>
      </c>
    </row>
    <row r="53" ht="18" customHeight="1">
      <c r="A53" s="20" t="n">
        <v>46164</v>
      </c>
      <c r="B53" s="21" t="inlineStr">
        <is>
          <t>Keluar</t>
        </is>
      </c>
      <c r="C53" s="22" t="n">
        <v>221000</v>
      </c>
      <c r="D53" s="21" t="inlineStr">
        <is>
          <t>beli plastik kemasan</t>
        </is>
      </c>
      <c r="E53" s="21" t="inlineStr">
        <is>
          <t>Kemasan</t>
        </is>
      </c>
      <c r="F53" s="21" t="inlineStr">
        <is>
          <t>Tunai</t>
        </is>
      </c>
      <c r="G53" s="21" t="inlineStr">
        <is>
          <t>Disetujui</t>
        </is>
      </c>
      <c r="H53" s="21" t="n"/>
      <c r="I53" s="21" t="n"/>
      <c r="J53" s="23">
        <f>IF($A53="","",TEXT($A53,"yyyy-mm"))</f>
        <v/>
      </c>
    </row>
    <row r="54" ht="18" customHeight="1">
      <c r="A54" s="20" t="n">
        <v>46165</v>
      </c>
      <c r="B54" s="21" t="inlineStr">
        <is>
          <t>Masuk</t>
        </is>
      </c>
      <c r="C54" s="22" t="n">
        <v>643000</v>
      </c>
      <c r="D54" s="21" t="inlineStr">
        <is>
          <t>jualan sore</t>
        </is>
      </c>
      <c r="E54" s="21" t="inlineStr">
        <is>
          <t>Penjualan Online</t>
        </is>
      </c>
      <c r="F54" s="21" t="inlineStr">
        <is>
          <t>Tunai</t>
        </is>
      </c>
      <c r="G54" s="21" t="inlineStr">
        <is>
          <t>Disetujui</t>
        </is>
      </c>
      <c r="H54" s="21" t="n"/>
      <c r="I54" s="21" t="n"/>
      <c r="J54" s="23">
        <f>IF($A54="","",TEXT($A54,"yyyy-mm"))</f>
        <v/>
      </c>
    </row>
    <row r="55" ht="18" customHeight="1">
      <c r="A55" s="20" t="n">
        <v>46165</v>
      </c>
      <c r="B55" s="21" t="inlineStr">
        <is>
          <t>Keluar</t>
        </is>
      </c>
      <c r="C55" s="22" t="n">
        <v>126000</v>
      </c>
      <c r="D55" s="21" t="inlineStr">
        <is>
          <t>beli bahan baku</t>
        </is>
      </c>
      <c r="E55" s="21" t="inlineStr">
        <is>
          <t>Bahan Baku</t>
        </is>
      </c>
      <c r="F55" s="21" t="inlineStr">
        <is>
          <t>Tunai</t>
        </is>
      </c>
      <c r="G55" s="21" t="inlineStr">
        <is>
          <t>Disetujui</t>
        </is>
      </c>
      <c r="H55" s="21" t="n"/>
      <c r="I55" s="21" t="n"/>
      <c r="J55" s="23">
        <f>IF($A55="","",TEXT($A55,"yyyy-mm"))</f>
        <v/>
      </c>
    </row>
    <row r="56" ht="18" customHeight="1">
      <c r="A56" s="20" t="n">
        <v>46166</v>
      </c>
      <c r="B56" s="21" t="inlineStr">
        <is>
          <t>Masuk</t>
        </is>
      </c>
      <c r="C56" s="22" t="n">
        <v>316000</v>
      </c>
      <c r="D56" s="21" t="inlineStr">
        <is>
          <t>pesanan online</t>
        </is>
      </c>
      <c r="E56" s="21" t="inlineStr">
        <is>
          <t>Penjualan Tunai</t>
        </is>
      </c>
      <c r="F56" s="21" t="inlineStr">
        <is>
          <t>Tunai</t>
        </is>
      </c>
      <c r="G56" s="21" t="inlineStr">
        <is>
          <t>Disetujui</t>
        </is>
      </c>
      <c r="H56" s="21" t="n"/>
      <c r="I56" s="21" t="n"/>
      <c r="J56" s="23">
        <f>IF($A56="","",TEXT($A56,"yyyy-mm"))</f>
        <v/>
      </c>
    </row>
    <row r="57" ht="18" customHeight="1">
      <c r="A57" s="20" t="n">
        <v>46166</v>
      </c>
      <c r="B57" s="21" t="inlineStr">
        <is>
          <t>Keluar</t>
        </is>
      </c>
      <c r="C57" s="22" t="n">
        <v>20000</v>
      </c>
      <c r="D57" s="21" t="inlineStr">
        <is>
          <t>beli bahan baku</t>
        </is>
      </c>
      <c r="E57" s="21" t="inlineStr">
        <is>
          <t>Bahan Baku</t>
        </is>
      </c>
      <c r="F57" s="21" t="inlineStr">
        <is>
          <t>Tunai</t>
        </is>
      </c>
      <c r="G57" s="21" t="inlineStr">
        <is>
          <t>Disetujui</t>
        </is>
      </c>
      <c r="H57" s="21" t="n"/>
      <c r="I57" s="21" t="n"/>
      <c r="J57" s="23">
        <f>IF($A57="","",TEXT($A57,"yyyy-mm"))</f>
        <v/>
      </c>
    </row>
    <row r="58" ht="18" customHeight="1">
      <c r="A58" s="20" t="n">
        <v>46167</v>
      </c>
      <c r="B58" s="21" t="inlineStr">
        <is>
          <t>Masuk</t>
        </is>
      </c>
      <c r="C58" s="22" t="n">
        <v>304000</v>
      </c>
      <c r="D58" s="21" t="inlineStr">
        <is>
          <t>penjualan harian</t>
        </is>
      </c>
      <c r="E58" s="21" t="inlineStr">
        <is>
          <t>Penjualan Online</t>
        </is>
      </c>
      <c r="F58" s="21" t="inlineStr">
        <is>
          <t>Tunai</t>
        </is>
      </c>
      <c r="G58" s="21" t="inlineStr">
        <is>
          <t>Disetujui</t>
        </is>
      </c>
      <c r="H58" s="21" t="n"/>
      <c r="I58" s="21" t="n"/>
      <c r="J58" s="23">
        <f>IF($A58="","",TEXT($A58,"yyyy-mm"))</f>
        <v/>
      </c>
    </row>
    <row r="59" ht="18" customHeight="1">
      <c r="A59" s="20" t="n">
        <v>46167</v>
      </c>
      <c r="B59" s="21" t="inlineStr">
        <is>
          <t>Masuk</t>
        </is>
      </c>
      <c r="C59" s="22" t="n">
        <v>522000</v>
      </c>
      <c r="D59" s="21" t="inlineStr">
        <is>
          <t>penjualan harian</t>
        </is>
      </c>
      <c r="E59" s="21" t="inlineStr">
        <is>
          <t>Penjualan Online</t>
        </is>
      </c>
      <c r="F59" s="21" t="inlineStr">
        <is>
          <t>Tunai</t>
        </is>
      </c>
      <c r="G59" s="21" t="inlineStr">
        <is>
          <t>Disetujui</t>
        </is>
      </c>
      <c r="H59" s="21" t="n"/>
      <c r="I59" s="21" t="n"/>
      <c r="J59" s="23">
        <f>IF($A59="","",TEXT($A59,"yyyy-mm"))</f>
        <v/>
      </c>
    </row>
    <row r="60" ht="18" customHeight="1">
      <c r="A60" s="20" t="n">
        <v>46167</v>
      </c>
      <c r="B60" s="21" t="inlineStr">
        <is>
          <t>Keluar</t>
        </is>
      </c>
      <c r="C60" s="22" t="n">
        <v>334000</v>
      </c>
      <c r="D60" s="21" t="inlineStr">
        <is>
          <t>belanja pasar</t>
        </is>
      </c>
      <c r="E60" s="21" t="inlineStr">
        <is>
          <t>Bahan Baku</t>
        </is>
      </c>
      <c r="F60" s="21" t="inlineStr">
        <is>
          <t>Tunai</t>
        </is>
      </c>
      <c r="G60" s="21" t="inlineStr">
        <is>
          <t>Disetujui</t>
        </is>
      </c>
      <c r="H60" s="21" t="n"/>
      <c r="I60" s="21" t="n"/>
      <c r="J60" s="23">
        <f>IF($A60="","",TEXT($A60,"yyyy-mm"))</f>
        <v/>
      </c>
    </row>
    <row r="61" ht="18" customHeight="1">
      <c r="A61" s="20" t="n">
        <v>46168</v>
      </c>
      <c r="B61" s="21" t="inlineStr">
        <is>
          <t>Masuk</t>
        </is>
      </c>
      <c r="C61" s="22" t="n">
        <v>302000</v>
      </c>
      <c r="D61" s="21" t="inlineStr">
        <is>
          <t>pesanan online</t>
        </is>
      </c>
      <c r="E61" s="21" t="inlineStr">
        <is>
          <t>Penjualan Online</t>
        </is>
      </c>
      <c r="F61" s="21" t="inlineStr">
        <is>
          <t>Tunai</t>
        </is>
      </c>
      <c r="G61" s="21" t="inlineStr">
        <is>
          <t>Disetujui</t>
        </is>
      </c>
      <c r="H61" s="21" t="n"/>
      <c r="I61" s="21" t="n"/>
      <c r="J61" s="23">
        <f>IF($A61="","",TEXT($A61,"yyyy-mm"))</f>
        <v/>
      </c>
    </row>
    <row r="62" ht="18" customHeight="1">
      <c r="A62" s="20" t="n">
        <v>46169</v>
      </c>
      <c r="B62" s="21" t="inlineStr">
        <is>
          <t>Masuk</t>
        </is>
      </c>
      <c r="C62" s="22" t="n">
        <v>522000</v>
      </c>
      <c r="D62" s="21" t="inlineStr">
        <is>
          <t>penjualan harian</t>
        </is>
      </c>
      <c r="E62" s="21" t="inlineStr">
        <is>
          <t>Penjualan Tunai</t>
        </is>
      </c>
      <c r="F62" s="21" t="inlineStr">
        <is>
          <t>Tunai</t>
        </is>
      </c>
      <c r="G62" s="21" t="inlineStr">
        <is>
          <t>Disetujui</t>
        </is>
      </c>
      <c r="H62" s="21" t="n"/>
      <c r="I62" s="21" t="n"/>
      <c r="J62" s="23">
        <f>IF($A62="","",TEXT($A62,"yyyy-mm"))</f>
        <v/>
      </c>
    </row>
    <row r="63" ht="18" customHeight="1">
      <c r="A63" s="20" t="n">
        <v>46169</v>
      </c>
      <c r="B63" s="21" t="inlineStr">
        <is>
          <t>Masuk</t>
        </is>
      </c>
      <c r="C63" s="22" t="n">
        <v>268000</v>
      </c>
      <c r="D63" s="21" t="inlineStr">
        <is>
          <t>jualan sore</t>
        </is>
      </c>
      <c r="E63" s="21" t="inlineStr">
        <is>
          <t>Penjualan Tunai</t>
        </is>
      </c>
      <c r="F63" s="21" t="inlineStr">
        <is>
          <t>Tunai</t>
        </is>
      </c>
      <c r="G63" s="21" t="inlineStr">
        <is>
          <t>Disetujui</t>
        </is>
      </c>
      <c r="H63" s="21" t="n"/>
      <c r="I63" s="21" t="n"/>
      <c r="J63" s="23">
        <f>IF($A63="","",TEXT($A63,"yyyy-mm"))</f>
        <v/>
      </c>
    </row>
    <row r="64" ht="18" customHeight="1">
      <c r="A64" s="20" t="n">
        <v>46169</v>
      </c>
      <c r="B64" s="21" t="inlineStr">
        <is>
          <t>Keluar</t>
        </is>
      </c>
      <c r="C64" s="22" t="n">
        <v>63000</v>
      </c>
      <c r="D64" s="21" t="inlineStr">
        <is>
          <t>bensin motor kirim</t>
        </is>
      </c>
      <c r="E64" s="21" t="inlineStr">
        <is>
          <t>Transport &amp; Kirim</t>
        </is>
      </c>
      <c r="F64" s="21" t="inlineStr">
        <is>
          <t>Tunai</t>
        </is>
      </c>
      <c r="G64" s="21" t="inlineStr">
        <is>
          <t>Disetujui</t>
        </is>
      </c>
      <c r="H64" s="21" t="n"/>
      <c r="I64" s="21" t="n"/>
      <c r="J64" s="23">
        <f>IF($A64="","",TEXT($A64,"yyyy-mm"))</f>
        <v/>
      </c>
    </row>
    <row r="65" ht="18" customHeight="1">
      <c r="A65" s="20" t="n">
        <v>46170</v>
      </c>
      <c r="B65" s="21" t="inlineStr">
        <is>
          <t>Masuk</t>
        </is>
      </c>
      <c r="C65" s="22" t="n">
        <v>254000</v>
      </c>
      <c r="D65" s="21" t="inlineStr">
        <is>
          <t>pesanan online</t>
        </is>
      </c>
      <c r="E65" s="21" t="inlineStr">
        <is>
          <t>Penjualan Online</t>
        </is>
      </c>
      <c r="F65" s="21" t="inlineStr">
        <is>
          <t>Tunai</t>
        </is>
      </c>
      <c r="G65" s="21" t="inlineStr">
        <is>
          <t>Disetujui</t>
        </is>
      </c>
      <c r="H65" s="21" t="n"/>
      <c r="I65" s="21" t="n"/>
      <c r="J65" s="23">
        <f>IF($A65="","",TEXT($A65,"yyyy-mm"))</f>
        <v/>
      </c>
    </row>
    <row r="66" ht="18" customHeight="1">
      <c r="A66" s="20" t="n">
        <v>46170</v>
      </c>
      <c r="B66" s="21" t="inlineStr">
        <is>
          <t>Keluar</t>
        </is>
      </c>
      <c r="C66" s="22" t="n">
        <v>102000</v>
      </c>
      <c r="D66" s="21" t="inlineStr">
        <is>
          <t>beli plastik kemasan</t>
        </is>
      </c>
      <c r="E66" s="21" t="inlineStr">
        <is>
          <t>Kemasan</t>
        </is>
      </c>
      <c r="F66" s="21" t="inlineStr">
        <is>
          <t>Tunai</t>
        </is>
      </c>
      <c r="G66" s="21" t="inlineStr">
        <is>
          <t>Disetujui</t>
        </is>
      </c>
      <c r="H66" s="21" t="n"/>
      <c r="I66" s="21" t="n"/>
      <c r="J66" s="23">
        <f>IF($A66="","",TEXT($A66,"yyyy-mm"))</f>
        <v/>
      </c>
    </row>
    <row r="67" ht="18" customHeight="1">
      <c r="A67" s="20" t="n">
        <v>46171</v>
      </c>
      <c r="B67" s="21" t="inlineStr">
        <is>
          <t>Masuk</t>
        </is>
      </c>
      <c r="C67" s="22" t="n">
        <v>173000</v>
      </c>
      <c r="D67" s="21" t="inlineStr">
        <is>
          <t>penjualan tunai kasir</t>
        </is>
      </c>
      <c r="E67" s="21" t="inlineStr">
        <is>
          <t>Penjualan Tunai</t>
        </is>
      </c>
      <c r="F67" s="21" t="inlineStr">
        <is>
          <t>Tunai</t>
        </is>
      </c>
      <c r="G67" s="21" t="inlineStr">
        <is>
          <t>Disetujui</t>
        </is>
      </c>
      <c r="H67" s="21" t="n"/>
      <c r="I67" s="21" t="n"/>
      <c r="J67" s="23">
        <f>IF($A67="","",TEXT($A67,"yyyy-mm"))</f>
        <v/>
      </c>
    </row>
    <row r="68" ht="18" customHeight="1">
      <c r="A68" s="20" t="n">
        <v>46171</v>
      </c>
      <c r="B68" s="21" t="inlineStr">
        <is>
          <t>Masuk</t>
        </is>
      </c>
      <c r="C68" s="22" t="n">
        <v>520000</v>
      </c>
      <c r="D68" s="21" t="inlineStr">
        <is>
          <t>penjualan tunai kasir</t>
        </is>
      </c>
      <c r="E68" s="21" t="inlineStr">
        <is>
          <t>Penjualan Tunai</t>
        </is>
      </c>
      <c r="F68" s="21" t="inlineStr">
        <is>
          <t>Tunai</t>
        </is>
      </c>
      <c r="G68" s="21" t="inlineStr">
        <is>
          <t>Disetujui</t>
        </is>
      </c>
      <c r="H68" s="21" t="n"/>
      <c r="I68" s="21" t="n"/>
      <c r="J68" s="23">
        <f>IF($A68="","",TEXT($A68,"yyyy-mm"))</f>
        <v/>
      </c>
    </row>
    <row r="69" ht="18" customHeight="1">
      <c r="A69" s="20" t="n">
        <v>46172</v>
      </c>
      <c r="B69" s="21" t="inlineStr">
        <is>
          <t>Masuk</t>
        </is>
      </c>
      <c r="C69" s="22" t="n">
        <v>455000</v>
      </c>
      <c r="D69" s="21" t="inlineStr">
        <is>
          <t>penjualan harian</t>
        </is>
      </c>
      <c r="E69" s="21" t="inlineStr">
        <is>
          <t>Penjualan Online</t>
        </is>
      </c>
      <c r="F69" s="21" t="inlineStr">
        <is>
          <t>Tunai</t>
        </is>
      </c>
      <c r="G69" s="21" t="inlineStr">
        <is>
          <t>Disetujui</t>
        </is>
      </c>
      <c r="H69" s="21" t="n"/>
      <c r="I69" s="21" t="n"/>
      <c r="J69" s="23">
        <f>IF($A69="","",TEXT($A69,"yyyy-mm"))</f>
        <v/>
      </c>
    </row>
    <row r="70" ht="18" customHeight="1">
      <c r="A70" s="20" t="n">
        <v>46172</v>
      </c>
      <c r="B70" s="21" t="inlineStr">
        <is>
          <t>Masuk</t>
        </is>
      </c>
      <c r="C70" s="22" t="n">
        <v>862000</v>
      </c>
      <c r="D70" s="21" t="inlineStr">
        <is>
          <t>penjualan tunai kasir</t>
        </is>
      </c>
      <c r="E70" s="21" t="inlineStr">
        <is>
          <t>Penjualan Tunai</t>
        </is>
      </c>
      <c r="F70" s="21" t="inlineStr">
        <is>
          <t>Tunai</t>
        </is>
      </c>
      <c r="G70" s="21" t="inlineStr">
        <is>
          <t>Disetujui</t>
        </is>
      </c>
      <c r="H70" s="21" t="n"/>
      <c r="I70" s="21" t="n"/>
      <c r="J70" s="23">
        <f>IF($A70="","",TEXT($A70,"yyyy-mm"))</f>
        <v/>
      </c>
    </row>
    <row r="71" ht="18" customHeight="1">
      <c r="A71" s="20" t="n">
        <v>46172</v>
      </c>
      <c r="B71" s="21" t="inlineStr">
        <is>
          <t>Keluar</t>
        </is>
      </c>
      <c r="C71" s="22" t="n">
        <v>202000</v>
      </c>
      <c r="D71" s="21" t="inlineStr">
        <is>
          <t>belanja pasar</t>
        </is>
      </c>
      <c r="E71" s="21" t="inlineStr">
        <is>
          <t>Bahan Baku</t>
        </is>
      </c>
      <c r="F71" s="21" t="inlineStr">
        <is>
          <t>Tunai</t>
        </is>
      </c>
      <c r="G71" s="21" t="inlineStr">
        <is>
          <t>Disetujui</t>
        </is>
      </c>
      <c r="H71" s="21" t="n"/>
      <c r="I71" s="21" t="n"/>
      <c r="J71" s="23">
        <f>IF($A71="","",TEXT($A71,"yyyy-mm"))</f>
        <v/>
      </c>
    </row>
    <row r="72" ht="18" customHeight="1">
      <c r="A72" s="20" t="n">
        <v>46173</v>
      </c>
      <c r="B72" s="21" t="inlineStr">
        <is>
          <t>Masuk</t>
        </is>
      </c>
      <c r="C72" s="22" t="n">
        <v>695000</v>
      </c>
      <c r="D72" s="21" t="inlineStr">
        <is>
          <t>penjualan tunai kasir</t>
        </is>
      </c>
      <c r="E72" s="21" t="inlineStr">
        <is>
          <t>Penjualan Online</t>
        </is>
      </c>
      <c r="F72" s="21" t="inlineStr">
        <is>
          <t>Tunai</t>
        </is>
      </c>
      <c r="G72" s="21" t="inlineStr">
        <is>
          <t>Disetujui</t>
        </is>
      </c>
      <c r="H72" s="21" t="n"/>
      <c r="I72" s="21" t="n"/>
      <c r="J72" s="23">
        <f>IF($A72="","",TEXT($A72,"yyyy-mm"))</f>
        <v/>
      </c>
    </row>
    <row r="73" ht="18" customHeight="1">
      <c r="A73" s="20" t="n">
        <v>46173</v>
      </c>
      <c r="B73" s="21" t="inlineStr">
        <is>
          <t>Keluar</t>
        </is>
      </c>
      <c r="C73" s="22" t="n">
        <v>333000</v>
      </c>
      <c r="D73" s="21" t="inlineStr">
        <is>
          <t>belanja pasar</t>
        </is>
      </c>
      <c r="E73" s="21" t="inlineStr">
        <is>
          <t>Bahan Baku</t>
        </is>
      </c>
      <c r="F73" s="21" t="inlineStr">
        <is>
          <t>Tunai</t>
        </is>
      </c>
      <c r="G73" s="21" t="inlineStr">
        <is>
          <t>Disetujui</t>
        </is>
      </c>
      <c r="H73" s="21" t="n"/>
      <c r="I73" s="21" t="n"/>
      <c r="J73" s="23">
        <f>IF($A73="","",TEXT($A73,"yyyy-mm"))</f>
        <v/>
      </c>
    </row>
    <row r="74" ht="18" customHeight="1">
      <c r="A74" s="20" t="n">
        <v>46174</v>
      </c>
      <c r="B74" s="21" t="inlineStr">
        <is>
          <t>Masuk</t>
        </is>
      </c>
      <c r="C74" s="22" t="n">
        <v>395000</v>
      </c>
      <c r="D74" s="21" t="inlineStr">
        <is>
          <t>jualan warung</t>
        </is>
      </c>
      <c r="E74" s="21" t="inlineStr">
        <is>
          <t>Penjualan Tunai</t>
        </is>
      </c>
      <c r="F74" s="21" t="inlineStr">
        <is>
          <t>Tunai</t>
        </is>
      </c>
      <c r="G74" s="21" t="inlineStr">
        <is>
          <t>Disetujui</t>
        </is>
      </c>
      <c r="H74" s="21" t="n"/>
      <c r="I74" s="21" t="n"/>
      <c r="J74" s="23">
        <f>IF($A74="","",TEXT($A74,"yyyy-mm"))</f>
        <v/>
      </c>
    </row>
    <row r="75" ht="18" customHeight="1">
      <c r="A75" s="20" t="n">
        <v>46174</v>
      </c>
      <c r="B75" s="21" t="inlineStr">
        <is>
          <t>Keluar</t>
        </is>
      </c>
      <c r="C75" s="22" t="n">
        <v>202000</v>
      </c>
      <c r="D75" s="21" t="inlineStr">
        <is>
          <t>beli plastik kemasan</t>
        </is>
      </c>
      <c r="E75" s="21" t="inlineStr">
        <is>
          <t>Kemasan</t>
        </is>
      </c>
      <c r="F75" s="21" t="inlineStr">
        <is>
          <t>Tunai</t>
        </is>
      </c>
      <c r="G75" s="21" t="inlineStr">
        <is>
          <t>Disetujui</t>
        </is>
      </c>
      <c r="H75" s="21" t="n"/>
      <c r="I75" s="21" t="n"/>
      <c r="J75" s="23">
        <f>IF($A75="","",TEXT($A75,"yyyy-mm"))</f>
        <v/>
      </c>
    </row>
    <row r="76" ht="18" customHeight="1">
      <c r="A76" s="20" t="n">
        <v>46175</v>
      </c>
      <c r="B76" s="21" t="inlineStr">
        <is>
          <t>Masuk</t>
        </is>
      </c>
      <c r="C76" s="22" t="n">
        <v>179000</v>
      </c>
      <c r="D76" s="21" t="inlineStr">
        <is>
          <t>pesanan online</t>
        </is>
      </c>
      <c r="E76" s="21" t="inlineStr">
        <is>
          <t>Penjualan Tunai</t>
        </is>
      </c>
      <c r="F76" s="21" t="inlineStr">
        <is>
          <t>Tunai</t>
        </is>
      </c>
      <c r="G76" s="21" t="inlineStr">
        <is>
          <t>Disetujui</t>
        </is>
      </c>
      <c r="H76" s="21" t="n"/>
      <c r="I76" s="21" t="n"/>
      <c r="J76" s="23">
        <f>IF($A76="","",TEXT($A76,"yyyy-mm"))</f>
        <v/>
      </c>
    </row>
    <row r="77" ht="18" customHeight="1">
      <c r="A77" s="20" t="n">
        <v>46175</v>
      </c>
      <c r="B77" s="21" t="inlineStr">
        <is>
          <t>Masuk</t>
        </is>
      </c>
      <c r="C77" s="22" t="n">
        <v>633000</v>
      </c>
      <c r="D77" s="21" t="inlineStr">
        <is>
          <t>jualan warung</t>
        </is>
      </c>
      <c r="E77" s="21" t="inlineStr">
        <is>
          <t>Penjualan Tunai</t>
        </is>
      </c>
      <c r="F77" s="21" t="inlineStr">
        <is>
          <t>Tunai</t>
        </is>
      </c>
      <c r="G77" s="21" t="inlineStr">
        <is>
          <t>Disetujui</t>
        </is>
      </c>
      <c r="H77" s="21" t="n"/>
      <c r="I77" s="21" t="n"/>
      <c r="J77" s="23">
        <f>IF($A77="","",TEXT($A77,"yyyy-mm"))</f>
        <v/>
      </c>
    </row>
    <row r="78" ht="18" customHeight="1">
      <c r="A78" s="20" t="n">
        <v>46175</v>
      </c>
      <c r="B78" s="21" t="inlineStr">
        <is>
          <t>Keluar</t>
        </is>
      </c>
      <c r="C78" s="22" t="n">
        <v>248000</v>
      </c>
      <c r="D78" s="21" t="inlineStr">
        <is>
          <t>bensin motor kirim</t>
        </is>
      </c>
      <c r="E78" s="21" t="inlineStr">
        <is>
          <t>Transport &amp; Kirim</t>
        </is>
      </c>
      <c r="F78" s="21" t="inlineStr">
        <is>
          <t>Tunai</t>
        </is>
      </c>
      <c r="G78" s="21" t="inlineStr">
        <is>
          <t>Disetujui</t>
        </is>
      </c>
      <c r="H78" s="21" t="n"/>
      <c r="I78" s="21" t="n"/>
      <c r="J78" s="23">
        <f>IF($A78="","",TEXT($A78,"yyyy-mm"))</f>
        <v/>
      </c>
    </row>
    <row r="79" ht="18" customHeight="1">
      <c r="A79" s="20" t="n">
        <v>46176</v>
      </c>
      <c r="B79" s="21" t="inlineStr">
        <is>
          <t>Masuk</t>
        </is>
      </c>
      <c r="C79" s="22" t="n">
        <v>507000</v>
      </c>
      <c r="D79" s="21" t="inlineStr">
        <is>
          <t>penjualan harian</t>
        </is>
      </c>
      <c r="E79" s="21" t="inlineStr">
        <is>
          <t>Penjualan Tunai</t>
        </is>
      </c>
      <c r="F79" s="21" t="inlineStr">
        <is>
          <t>Tunai</t>
        </is>
      </c>
      <c r="G79" s="21" t="inlineStr">
        <is>
          <t>Disetujui</t>
        </is>
      </c>
      <c r="H79" s="21" t="n"/>
      <c r="I79" s="21" t="n"/>
      <c r="J79" s="23">
        <f>IF($A79="","",TEXT($A79,"yyyy-mm"))</f>
        <v/>
      </c>
    </row>
    <row r="80" ht="18" customHeight="1">
      <c r="A80" s="20" t="n">
        <v>46176</v>
      </c>
      <c r="B80" s="21" t="inlineStr">
        <is>
          <t>Masuk</t>
        </is>
      </c>
      <c r="C80" s="22" t="n">
        <v>375000</v>
      </c>
      <c r="D80" s="21" t="inlineStr">
        <is>
          <t>jualan warung</t>
        </is>
      </c>
      <c r="E80" s="21" t="inlineStr">
        <is>
          <t>Penjualan Tunai</t>
        </is>
      </c>
      <c r="F80" s="21" t="inlineStr">
        <is>
          <t>Tunai</t>
        </is>
      </c>
      <c r="G80" s="21" t="inlineStr">
        <is>
          <t>Disetujui</t>
        </is>
      </c>
      <c r="H80" s="21" t="n"/>
      <c r="I80" s="21" t="n"/>
      <c r="J80" s="23">
        <f>IF($A80="","",TEXT($A80,"yyyy-mm"))</f>
        <v/>
      </c>
    </row>
    <row r="81" ht="18" customHeight="1">
      <c r="A81" s="20" t="n">
        <v>46176</v>
      </c>
      <c r="B81" s="21" t="inlineStr">
        <is>
          <t>Keluar</t>
        </is>
      </c>
      <c r="C81" s="22" t="n">
        <v>124000</v>
      </c>
      <c r="D81" s="21" t="inlineStr">
        <is>
          <t>bensin motor kirim</t>
        </is>
      </c>
      <c r="E81" s="21" t="inlineStr">
        <is>
          <t>Transport &amp; Kirim</t>
        </is>
      </c>
      <c r="F81" s="21" t="inlineStr">
        <is>
          <t>Tunai</t>
        </is>
      </c>
      <c r="G81" s="21" t="inlineStr">
        <is>
          <t>Disetujui</t>
        </is>
      </c>
      <c r="H81" s="21" t="n"/>
      <c r="I81" s="21" t="n"/>
      <c r="J81" s="23">
        <f>IF($A81="","",TEXT($A81,"yyyy-mm"))</f>
        <v/>
      </c>
    </row>
    <row r="82" ht="18" customHeight="1">
      <c r="A82" s="20" t="n">
        <v>46177</v>
      </c>
      <c r="B82" s="21" t="inlineStr">
        <is>
          <t>Masuk</t>
        </is>
      </c>
      <c r="C82" s="22" t="n">
        <v>789000</v>
      </c>
      <c r="D82" s="21" t="inlineStr">
        <is>
          <t>penjualan harian</t>
        </is>
      </c>
      <c r="E82" s="21" t="inlineStr">
        <is>
          <t>Penjualan Online</t>
        </is>
      </c>
      <c r="F82" s="21" t="inlineStr">
        <is>
          <t>Tunai</t>
        </is>
      </c>
      <c r="G82" s="21" t="inlineStr">
        <is>
          <t>Disetujui</t>
        </is>
      </c>
      <c r="H82" s="21" t="n"/>
      <c r="I82" s="21" t="n"/>
      <c r="J82" s="23">
        <f>IF($A82="","",TEXT($A82,"yyyy-mm"))</f>
        <v/>
      </c>
    </row>
    <row r="83" ht="18" customHeight="1">
      <c r="A83" s="20" t="n">
        <v>46177</v>
      </c>
      <c r="B83" s="21" t="inlineStr">
        <is>
          <t>Keluar</t>
        </is>
      </c>
      <c r="C83" s="22" t="n">
        <v>196000</v>
      </c>
      <c r="D83" s="21" t="inlineStr">
        <is>
          <t>beli stok minuman</t>
        </is>
      </c>
      <c r="E83" s="21" t="inlineStr">
        <is>
          <t>Barang Dagang</t>
        </is>
      </c>
      <c r="F83" s="21" t="inlineStr">
        <is>
          <t>Tunai</t>
        </is>
      </c>
      <c r="G83" s="21" t="inlineStr">
        <is>
          <t>Disetujui</t>
        </is>
      </c>
      <c r="H83" s="21" t="n"/>
      <c r="I83" s="21" t="n"/>
      <c r="J83" s="23">
        <f>IF($A83="","",TEXT($A83,"yyyy-mm"))</f>
        <v/>
      </c>
    </row>
    <row r="84" ht="18" customHeight="1">
      <c r="A84" s="20" t="n">
        <v>46178</v>
      </c>
      <c r="B84" s="21" t="inlineStr">
        <is>
          <t>Masuk</t>
        </is>
      </c>
      <c r="C84" s="22" t="n">
        <v>236000</v>
      </c>
      <c r="D84" s="21" t="inlineStr">
        <is>
          <t>penjualan harian</t>
        </is>
      </c>
      <c r="E84" s="21" t="inlineStr">
        <is>
          <t>Penjualan Online</t>
        </is>
      </c>
      <c r="F84" s="21" t="inlineStr">
        <is>
          <t>Tunai</t>
        </is>
      </c>
      <c r="G84" s="21" t="inlineStr">
        <is>
          <t>Disetujui</t>
        </is>
      </c>
      <c r="H84" s="21" t="n"/>
      <c r="I84" s="21" t="n"/>
      <c r="J84" s="23">
        <f>IF($A84="","",TEXT($A84,"yyyy-mm"))</f>
        <v/>
      </c>
    </row>
    <row r="85" ht="18" customHeight="1">
      <c r="A85" s="20" t="n">
        <v>46178</v>
      </c>
      <c r="B85" s="21" t="inlineStr">
        <is>
          <t>Masuk</t>
        </is>
      </c>
      <c r="C85" s="22" t="n">
        <v>547000</v>
      </c>
      <c r="D85" s="21" t="inlineStr">
        <is>
          <t>jualan warung</t>
        </is>
      </c>
      <c r="E85" s="21" t="inlineStr">
        <is>
          <t>Penjualan Online</t>
        </is>
      </c>
      <c r="F85" s="21" t="inlineStr">
        <is>
          <t>Tunai</t>
        </is>
      </c>
      <c r="G85" s="21" t="inlineStr">
        <is>
          <t>Disetujui</t>
        </is>
      </c>
      <c r="H85" s="21" t="n"/>
      <c r="I85" s="21" t="n"/>
      <c r="J85" s="23">
        <f>IF($A85="","",TEXT($A85,"yyyy-mm"))</f>
        <v/>
      </c>
    </row>
    <row r="86" ht="18" customHeight="1">
      <c r="A86" s="20" t="n">
        <v>46178</v>
      </c>
      <c r="B86" s="21" t="inlineStr">
        <is>
          <t>Keluar</t>
        </is>
      </c>
      <c r="C86" s="22" t="n">
        <v>242000</v>
      </c>
      <c r="D86" s="21" t="inlineStr">
        <is>
          <t>belanja pasar</t>
        </is>
      </c>
      <c r="E86" s="21" t="inlineStr">
        <is>
          <t>Bahan Baku</t>
        </is>
      </c>
      <c r="F86" s="21" t="inlineStr">
        <is>
          <t>Tunai</t>
        </is>
      </c>
      <c r="G86" s="21" t="inlineStr">
        <is>
          <t>Disetujui</t>
        </is>
      </c>
      <c r="H86" s="21" t="n"/>
      <c r="I86" s="21" t="n"/>
      <c r="J86" s="23">
        <f>IF($A86="","",TEXT($A86,"yyyy-mm"))</f>
        <v/>
      </c>
    </row>
    <row r="87" ht="18" customHeight="1">
      <c r="A87" s="20" t="n">
        <v>46178</v>
      </c>
      <c r="B87" s="21" t="inlineStr">
        <is>
          <t>Keluar</t>
        </is>
      </c>
      <c r="C87" s="22" t="n">
        <v>1500000</v>
      </c>
      <c r="D87" s="21" t="inlineStr">
        <is>
          <t>gaji karyawan</t>
        </is>
      </c>
      <c r="E87" s="21" t="inlineStr">
        <is>
          <t>Gaji &amp; Upah</t>
        </is>
      </c>
      <c r="F87" s="21" t="inlineStr">
        <is>
          <t>Transfer Bank</t>
        </is>
      </c>
      <c r="G87" s="21" t="inlineStr">
        <is>
          <t>Disetujui</t>
        </is>
      </c>
      <c r="H87" s="21" t="n"/>
      <c r="I87" s="21" t="n"/>
      <c r="J87" s="23">
        <f>IF($A87="","",TEXT($A87,"yyyy-mm"))</f>
        <v/>
      </c>
    </row>
    <row r="88" ht="18" customHeight="1">
      <c r="A88" s="20" t="n">
        <v>46178</v>
      </c>
      <c r="B88" s="21" t="inlineStr">
        <is>
          <t>Keluar</t>
        </is>
      </c>
      <c r="C88" s="22" t="n">
        <v>1000000</v>
      </c>
      <c r="D88" s="21" t="inlineStr">
        <is>
          <t>sewa kios</t>
        </is>
      </c>
      <c r="E88" s="21" t="inlineStr">
        <is>
          <t>Sewa Tempat</t>
        </is>
      </c>
      <c r="F88" s="21" t="inlineStr">
        <is>
          <t>Transfer Bank</t>
        </is>
      </c>
      <c r="G88" s="21" t="inlineStr">
        <is>
          <t>Disetujui</t>
        </is>
      </c>
      <c r="H88" s="21" t="n"/>
      <c r="I88" s="21" t="n"/>
      <c r="J88" s="23">
        <f>IF($A88="","",TEXT($A88,"yyyy-mm"))</f>
        <v/>
      </c>
    </row>
    <row r="89" ht="18" customHeight="1">
      <c r="A89" s="20" t="n">
        <v>46179</v>
      </c>
      <c r="B89" s="21" t="inlineStr">
        <is>
          <t>Masuk</t>
        </is>
      </c>
      <c r="C89" s="22" t="n">
        <v>490000</v>
      </c>
      <c r="D89" s="21" t="inlineStr">
        <is>
          <t>jualan sore</t>
        </is>
      </c>
      <c r="E89" s="21" t="inlineStr">
        <is>
          <t>Penjualan Tunai</t>
        </is>
      </c>
      <c r="F89" s="21" t="inlineStr">
        <is>
          <t>Tunai</t>
        </is>
      </c>
      <c r="G89" s="21" t="inlineStr">
        <is>
          <t>Disetujui</t>
        </is>
      </c>
      <c r="H89" s="21" t="n"/>
      <c r="I89" s="21" t="n"/>
      <c r="J89" s="23">
        <f>IF($A89="","",TEXT($A89,"yyyy-mm"))</f>
        <v/>
      </c>
    </row>
    <row r="90" ht="18" customHeight="1">
      <c r="A90" s="20" t="n">
        <v>46179</v>
      </c>
      <c r="B90" s="21" t="inlineStr">
        <is>
          <t>Masuk</t>
        </is>
      </c>
      <c r="C90" s="22" t="n">
        <v>624000</v>
      </c>
      <c r="D90" s="21" t="inlineStr">
        <is>
          <t>penjualan harian</t>
        </is>
      </c>
      <c r="E90" s="21" t="inlineStr">
        <is>
          <t>Penjualan Tunai</t>
        </is>
      </c>
      <c r="F90" s="21" t="inlineStr">
        <is>
          <t>Tunai</t>
        </is>
      </c>
      <c r="G90" s="21" t="inlineStr">
        <is>
          <t>Disetujui</t>
        </is>
      </c>
      <c r="H90" s="21" t="n"/>
      <c r="I90" s="21" t="n"/>
      <c r="J90" s="23">
        <f>IF($A90="","",TEXT($A90,"yyyy-mm"))</f>
        <v/>
      </c>
    </row>
    <row r="91" ht="18" customHeight="1">
      <c r="A91" s="20" t="n">
        <v>46179</v>
      </c>
      <c r="B91" s="21" t="inlineStr">
        <is>
          <t>Keluar</t>
        </is>
      </c>
      <c r="C91" s="22" t="n">
        <v>85000</v>
      </c>
      <c r="D91" s="21" t="inlineStr">
        <is>
          <t>belanja pasar</t>
        </is>
      </c>
      <c r="E91" s="21" t="inlineStr">
        <is>
          <t>Bahan Baku</t>
        </is>
      </c>
      <c r="F91" s="21" t="inlineStr">
        <is>
          <t>Tunai</t>
        </is>
      </c>
      <c r="G91" s="21" t="inlineStr">
        <is>
          <t>Disetujui</t>
        </is>
      </c>
      <c r="H91" s="21" t="n"/>
      <c r="I91" s="21" t="n"/>
      <c r="J91" s="23">
        <f>IF($A91="","",TEXT($A91,"yyyy-mm"))</f>
        <v/>
      </c>
    </row>
    <row r="92" ht="18" customHeight="1">
      <c r="A92" s="20" t="n">
        <v>46180</v>
      </c>
      <c r="B92" s="21" t="inlineStr">
        <is>
          <t>Masuk</t>
        </is>
      </c>
      <c r="C92" s="22" t="n">
        <v>304000</v>
      </c>
      <c r="D92" s="21" t="inlineStr">
        <is>
          <t>jualan sore</t>
        </is>
      </c>
      <c r="E92" s="21" t="inlineStr">
        <is>
          <t>Penjualan Online</t>
        </is>
      </c>
      <c r="F92" s="21" t="inlineStr">
        <is>
          <t>Tunai</t>
        </is>
      </c>
      <c r="G92" s="21" t="inlineStr">
        <is>
          <t>Disetujui</t>
        </is>
      </c>
      <c r="H92" s="21" t="n"/>
      <c r="I92" s="21" t="n"/>
      <c r="J92" s="23">
        <f>IF($A92="","",TEXT($A92,"yyyy-mm"))</f>
        <v/>
      </c>
    </row>
    <row r="93" ht="18" customHeight="1">
      <c r="A93" s="20" t="n">
        <v>46181</v>
      </c>
      <c r="B93" s="21" t="inlineStr">
        <is>
          <t>Masuk</t>
        </is>
      </c>
      <c r="C93" s="22" t="n">
        <v>776000</v>
      </c>
      <c r="D93" s="21" t="inlineStr">
        <is>
          <t>jualan sore</t>
        </is>
      </c>
      <c r="E93" s="21" t="inlineStr">
        <is>
          <t>Penjualan Online</t>
        </is>
      </c>
      <c r="F93" s="21" t="inlineStr">
        <is>
          <t>Tunai</t>
        </is>
      </c>
      <c r="G93" s="21" t="inlineStr">
        <is>
          <t>Disetujui</t>
        </is>
      </c>
      <c r="H93" s="21" t="n"/>
      <c r="I93" s="21" t="n"/>
      <c r="J93" s="23">
        <f>IF($A93="","",TEXT($A93,"yyyy-mm"))</f>
        <v/>
      </c>
    </row>
    <row r="94" ht="18" customHeight="1">
      <c r="A94" s="20" t="n">
        <v>46181</v>
      </c>
      <c r="B94" s="21" t="inlineStr">
        <is>
          <t>Keluar</t>
        </is>
      </c>
      <c r="C94" s="22" t="n">
        <v>99000</v>
      </c>
      <c r="D94" s="21" t="inlineStr">
        <is>
          <t>bensin motor kirim</t>
        </is>
      </c>
      <c r="E94" s="21" t="inlineStr">
        <is>
          <t>Transport &amp; Kirim</t>
        </is>
      </c>
      <c r="F94" s="21" t="inlineStr">
        <is>
          <t>Tunai</t>
        </is>
      </c>
      <c r="G94" s="21" t="inlineStr">
        <is>
          <t>Disetujui</t>
        </is>
      </c>
      <c r="H94" s="21" t="n"/>
      <c r="I94" s="21" t="n"/>
      <c r="J94" s="23">
        <f>IF($A94="","",TEXT($A94,"yyyy-mm"))</f>
        <v/>
      </c>
    </row>
    <row r="95" ht="18" customHeight="1">
      <c r="A95" s="20" t="n">
        <v>46182</v>
      </c>
      <c r="B95" s="21" t="inlineStr">
        <is>
          <t>Masuk</t>
        </is>
      </c>
      <c r="C95" s="22" t="n">
        <v>711000</v>
      </c>
      <c r="D95" s="21" t="inlineStr">
        <is>
          <t>penjualan harian</t>
        </is>
      </c>
      <c r="E95" s="21" t="inlineStr">
        <is>
          <t>Penjualan Tunai</t>
        </is>
      </c>
      <c r="F95" s="21" t="inlineStr">
        <is>
          <t>Tunai</t>
        </is>
      </c>
      <c r="G95" s="21" t="inlineStr">
        <is>
          <t>Disetujui</t>
        </is>
      </c>
      <c r="H95" s="21" t="n"/>
      <c r="I95" s="21" t="n"/>
      <c r="J95" s="23">
        <f>IF($A95="","",TEXT($A95,"yyyy-mm"))</f>
        <v/>
      </c>
    </row>
    <row r="96" ht="18" customHeight="1">
      <c r="A96" s="20" t="n">
        <v>46182</v>
      </c>
      <c r="B96" s="21" t="inlineStr">
        <is>
          <t>Masuk</t>
        </is>
      </c>
      <c r="C96" s="22" t="n">
        <v>164000</v>
      </c>
      <c r="D96" s="21" t="inlineStr">
        <is>
          <t>penjualan harian</t>
        </is>
      </c>
      <c r="E96" s="21" t="inlineStr">
        <is>
          <t>Penjualan Online</t>
        </is>
      </c>
      <c r="F96" s="21" t="inlineStr">
        <is>
          <t>Tunai</t>
        </is>
      </c>
      <c r="G96" s="21" t="inlineStr">
        <is>
          <t>Disetujui</t>
        </is>
      </c>
      <c r="H96" s="21" t="n"/>
      <c r="I96" s="21" t="n"/>
      <c r="J96" s="23">
        <f>IF($A96="","",TEXT($A96,"yyyy-mm"))</f>
        <v/>
      </c>
    </row>
    <row r="97" ht="18" customHeight="1">
      <c r="A97" s="20" t="n">
        <v>46182</v>
      </c>
      <c r="B97" s="21" t="inlineStr">
        <is>
          <t>Keluar</t>
        </is>
      </c>
      <c r="C97" s="22" t="n">
        <v>242000</v>
      </c>
      <c r="D97" s="21" t="inlineStr">
        <is>
          <t>belanja pasar</t>
        </is>
      </c>
      <c r="E97" s="21" t="inlineStr">
        <is>
          <t>Bahan Baku</t>
        </is>
      </c>
      <c r="F97" s="21" t="inlineStr">
        <is>
          <t>Tunai</t>
        </is>
      </c>
      <c r="G97" s="21" t="inlineStr">
        <is>
          <t>Disetujui</t>
        </is>
      </c>
      <c r="H97" s="21" t="n"/>
      <c r="I97" s="21" t="n"/>
      <c r="J97" s="23">
        <f>IF($A97="","",TEXT($A97,"yyyy-mm"))</f>
        <v/>
      </c>
    </row>
    <row r="98" ht="18" customHeight="1">
      <c r="A98" s="20" t="n">
        <v>46183</v>
      </c>
      <c r="B98" s="21" t="inlineStr">
        <is>
          <t>Masuk</t>
        </is>
      </c>
      <c r="C98" s="22" t="n">
        <v>366000</v>
      </c>
      <c r="D98" s="21" t="inlineStr">
        <is>
          <t>pesanan online</t>
        </is>
      </c>
      <c r="E98" s="21" t="inlineStr">
        <is>
          <t>Penjualan Tunai</t>
        </is>
      </c>
      <c r="F98" s="21" t="inlineStr">
        <is>
          <t>Tunai</t>
        </is>
      </c>
      <c r="G98" s="21" t="inlineStr">
        <is>
          <t>Disetujui</t>
        </is>
      </c>
      <c r="H98" s="21" t="n"/>
      <c r="I98" s="21" t="n"/>
      <c r="J98" s="23">
        <f>IF($A98="","",TEXT($A98,"yyyy-mm"))</f>
        <v/>
      </c>
    </row>
    <row r="99" ht="18" customHeight="1">
      <c r="A99" s="20" t="n">
        <v>46183</v>
      </c>
      <c r="B99" s="21" t="inlineStr">
        <is>
          <t>Keluar</t>
        </is>
      </c>
      <c r="C99" s="22" t="n">
        <v>143000</v>
      </c>
      <c r="D99" s="21" t="inlineStr">
        <is>
          <t>pulsa internet</t>
        </is>
      </c>
      <c r="E99" s="21" t="inlineStr">
        <is>
          <t>Pulsa &amp; Internet</t>
        </is>
      </c>
      <c r="F99" s="21" t="inlineStr">
        <is>
          <t>Tunai</t>
        </is>
      </c>
      <c r="G99" s="21" t="inlineStr">
        <is>
          <t>Disetujui</t>
        </is>
      </c>
      <c r="H99" s="21" t="n"/>
      <c r="I99" s="21" t="n"/>
      <c r="J99" s="23">
        <f>IF($A99="","",TEXT($A99,"yyyy-mm"))</f>
        <v/>
      </c>
    </row>
    <row r="100" ht="18" customHeight="1">
      <c r="A100" s="20" t="n">
        <v>46183</v>
      </c>
      <c r="B100" s="21" t="inlineStr">
        <is>
          <t>Keluar</t>
        </is>
      </c>
      <c r="C100" s="22" t="n">
        <v>320000</v>
      </c>
      <c r="D100" s="21" t="inlineStr">
        <is>
          <t>bayar listrik &amp; air</t>
        </is>
      </c>
      <c r="E100" s="21" t="inlineStr">
        <is>
          <t>Listrik &amp; Air</t>
        </is>
      </c>
      <c r="F100" s="21" t="inlineStr">
        <is>
          <t>Transfer Bank</t>
        </is>
      </c>
      <c r="G100" s="21" t="inlineStr">
        <is>
          <t>Disetujui</t>
        </is>
      </c>
      <c r="H100" s="21" t="n"/>
      <c r="I100" s="21" t="n"/>
      <c r="J100" s="23">
        <f>IF($A100="","",TEXT($A100,"yyyy-mm"))</f>
        <v/>
      </c>
    </row>
    <row r="101" ht="18" customHeight="1">
      <c r="A101" s="20" t="n">
        <v>46184</v>
      </c>
      <c r="B101" s="21" t="inlineStr">
        <is>
          <t>Masuk</t>
        </is>
      </c>
      <c r="C101" s="22" t="n">
        <v>483000</v>
      </c>
      <c r="D101" s="21" t="inlineStr">
        <is>
          <t>penjualan tunai kasir</t>
        </is>
      </c>
      <c r="E101" s="21" t="inlineStr">
        <is>
          <t>Penjualan Tunai</t>
        </is>
      </c>
      <c r="F101" s="21" t="inlineStr">
        <is>
          <t>Tunai</t>
        </is>
      </c>
      <c r="G101" s="21" t="inlineStr">
        <is>
          <t>Disetujui</t>
        </is>
      </c>
      <c r="H101" s="21" t="n"/>
      <c r="I101" s="21" t="n"/>
      <c r="J101" s="23">
        <f>IF($A101="","",TEXT($A101,"yyyy-mm"))</f>
        <v/>
      </c>
    </row>
    <row r="102" ht="18" customHeight="1">
      <c r="A102" s="20" t="n">
        <v>46184</v>
      </c>
      <c r="B102" s="21" t="inlineStr">
        <is>
          <t>Masuk</t>
        </is>
      </c>
      <c r="C102" s="22" t="n">
        <v>579000</v>
      </c>
      <c r="D102" s="21" t="inlineStr">
        <is>
          <t>penjualan harian</t>
        </is>
      </c>
      <c r="E102" s="21" t="inlineStr">
        <is>
          <t>Penjualan Tunai</t>
        </is>
      </c>
      <c r="F102" s="21" t="inlineStr">
        <is>
          <t>Tunai</t>
        </is>
      </c>
      <c r="G102" s="21" t="inlineStr">
        <is>
          <t>Disetujui</t>
        </is>
      </c>
      <c r="H102" s="21" t="n"/>
      <c r="I102" s="21" t="n"/>
      <c r="J102" s="23">
        <f>IF($A102="","",TEXT($A102,"yyyy-mm"))</f>
        <v/>
      </c>
    </row>
    <row r="103" ht="18" customHeight="1">
      <c r="A103" s="20" t="n">
        <v>46185</v>
      </c>
      <c r="B103" s="21" t="inlineStr">
        <is>
          <t>Masuk</t>
        </is>
      </c>
      <c r="C103" s="22" t="n">
        <v>619000</v>
      </c>
      <c r="D103" s="21" t="inlineStr">
        <is>
          <t>penjualan tunai kasir</t>
        </is>
      </c>
      <c r="E103" s="21" t="inlineStr">
        <is>
          <t>Penjualan Online</t>
        </is>
      </c>
      <c r="F103" s="21" t="inlineStr">
        <is>
          <t>Tunai</t>
        </is>
      </c>
      <c r="G103" s="21" t="inlineStr">
        <is>
          <t>Disetujui</t>
        </is>
      </c>
      <c r="H103" s="21" t="n"/>
      <c r="I103" s="21" t="n"/>
      <c r="J103" s="23">
        <f>IF($A103="","",TEXT($A103,"yyyy-mm"))</f>
        <v/>
      </c>
    </row>
    <row r="104" ht="18" customHeight="1">
      <c r="A104" s="20" t="n">
        <v>46186</v>
      </c>
      <c r="B104" s="21" t="inlineStr">
        <is>
          <t>Masuk</t>
        </is>
      </c>
      <c r="C104" s="22" t="n">
        <v>580000</v>
      </c>
      <c r="D104" s="21" t="inlineStr">
        <is>
          <t>jualan warung</t>
        </is>
      </c>
      <c r="E104" s="21" t="inlineStr">
        <is>
          <t>Penjualan Online</t>
        </is>
      </c>
      <c r="F104" s="21" t="inlineStr">
        <is>
          <t>Tunai</t>
        </is>
      </c>
      <c r="G104" s="21" t="inlineStr">
        <is>
          <t>Disetujui</t>
        </is>
      </c>
      <c r="H104" s="21" t="n"/>
      <c r="I104" s="21" t="n"/>
      <c r="J104" s="23">
        <f>IF($A104="","",TEXT($A104,"yyyy-mm"))</f>
        <v/>
      </c>
    </row>
    <row r="105" ht="18" customHeight="1">
      <c r="A105" s="20" t="n">
        <v>46186</v>
      </c>
      <c r="B105" s="21" t="inlineStr">
        <is>
          <t>Masuk</t>
        </is>
      </c>
      <c r="C105" s="22" t="n">
        <v>694000</v>
      </c>
      <c r="D105" s="21" t="inlineStr">
        <is>
          <t>penjualan tunai kasir</t>
        </is>
      </c>
      <c r="E105" s="21" t="inlineStr">
        <is>
          <t>Penjualan Tunai</t>
        </is>
      </c>
      <c r="F105" s="21" t="inlineStr">
        <is>
          <t>Tunai</t>
        </is>
      </c>
      <c r="G105" s="21" t="inlineStr">
        <is>
          <t>Disetujui</t>
        </is>
      </c>
      <c r="H105" s="21" t="n"/>
      <c r="I105" s="21" t="n"/>
      <c r="J105" s="23">
        <f>IF($A105="","",TEXT($A105,"yyyy-mm"))</f>
        <v/>
      </c>
    </row>
    <row r="106" ht="18" customHeight="1">
      <c r="A106" s="20" t="n">
        <v>46186</v>
      </c>
      <c r="B106" s="21" t="inlineStr">
        <is>
          <t>Keluar</t>
        </is>
      </c>
      <c r="C106" s="22" t="n">
        <v>113000</v>
      </c>
      <c r="D106" s="21" t="inlineStr">
        <is>
          <t>beli plastik kemasan</t>
        </is>
      </c>
      <c r="E106" s="21" t="inlineStr">
        <is>
          <t>Kemasan</t>
        </is>
      </c>
      <c r="F106" s="21" t="inlineStr">
        <is>
          <t>Tunai</t>
        </is>
      </c>
      <c r="G106" s="21" t="inlineStr">
        <is>
          <t>Disetujui</t>
        </is>
      </c>
      <c r="H106" s="21" t="n"/>
      <c r="I106" s="21" t="n"/>
      <c r="J106" s="23">
        <f>IF($A106="","",TEXT($A106,"yyyy-mm"))</f>
        <v/>
      </c>
    </row>
    <row r="107" ht="18" customHeight="1">
      <c r="A107" s="20" t="n">
        <v>46187</v>
      </c>
      <c r="B107" s="21" t="inlineStr">
        <is>
          <t>Masuk</t>
        </is>
      </c>
      <c r="C107" s="22" t="n">
        <v>154000</v>
      </c>
      <c r="D107" s="21" t="inlineStr">
        <is>
          <t>jualan warung</t>
        </is>
      </c>
      <c r="E107" s="21" t="inlineStr">
        <is>
          <t>Penjualan Tunai</t>
        </is>
      </c>
      <c r="F107" s="21" t="inlineStr">
        <is>
          <t>Tunai</t>
        </is>
      </c>
      <c r="G107" s="21" t="inlineStr">
        <is>
          <t>Disetujui</t>
        </is>
      </c>
      <c r="H107" s="21" t="n"/>
      <c r="I107" s="21" t="n"/>
      <c r="J107" s="23">
        <f>IF($A107="","",TEXT($A107,"yyyy-mm"))</f>
        <v/>
      </c>
    </row>
    <row r="108" ht="18" customHeight="1">
      <c r="A108" s="20" t="n">
        <v>46187</v>
      </c>
      <c r="B108" s="21" t="inlineStr">
        <is>
          <t>Masuk</t>
        </is>
      </c>
      <c r="C108" s="22" t="n">
        <v>294000</v>
      </c>
      <c r="D108" s="21" t="inlineStr">
        <is>
          <t>penjualan tunai kasir</t>
        </is>
      </c>
      <c r="E108" s="21" t="inlineStr">
        <is>
          <t>Penjualan Tunai</t>
        </is>
      </c>
      <c r="F108" s="21" t="inlineStr">
        <is>
          <t>Tunai</t>
        </is>
      </c>
      <c r="G108" s="21" t="inlineStr">
        <is>
          <t>Disetujui</t>
        </is>
      </c>
      <c r="H108" s="21" t="n"/>
      <c r="I108" s="21" t="n"/>
      <c r="J108" s="23">
        <f>IF($A108="","",TEXT($A108,"yyyy-mm"))</f>
        <v/>
      </c>
    </row>
    <row r="109" ht="18" customHeight="1">
      <c r="A109" s="20" t="n">
        <v>46187</v>
      </c>
      <c r="B109" s="21" t="inlineStr">
        <is>
          <t>Keluar</t>
        </is>
      </c>
      <c r="C109" s="22" t="n">
        <v>51000</v>
      </c>
      <c r="D109" s="21" t="inlineStr">
        <is>
          <t>pulsa internet</t>
        </is>
      </c>
      <c r="E109" s="21" t="inlineStr">
        <is>
          <t>Pulsa &amp; Internet</t>
        </is>
      </c>
      <c r="F109" s="21" t="inlineStr">
        <is>
          <t>Tunai</t>
        </is>
      </c>
      <c r="G109" s="21" t="inlineStr">
        <is>
          <t>Disetujui</t>
        </is>
      </c>
      <c r="H109" s="21" t="n"/>
      <c r="I109" s="21" t="n"/>
      <c r="J109" s="23">
        <f>IF($A109="","",TEXT($A109,"yyyy-mm"))</f>
        <v/>
      </c>
    </row>
    <row r="110" ht="18" customHeight="1">
      <c r="A110" s="20" t="n">
        <v>46188</v>
      </c>
      <c r="B110" s="21" t="inlineStr">
        <is>
          <t>Masuk</t>
        </is>
      </c>
      <c r="C110" s="22" t="n">
        <v>848000</v>
      </c>
      <c r="D110" s="21" t="inlineStr">
        <is>
          <t>penjualan tunai kasir</t>
        </is>
      </c>
      <c r="E110" s="21" t="inlineStr">
        <is>
          <t>Penjualan Online</t>
        </is>
      </c>
      <c r="F110" s="21" t="inlineStr">
        <is>
          <t>Tunai</t>
        </is>
      </c>
      <c r="G110" s="21" t="inlineStr">
        <is>
          <t>Disetujui</t>
        </is>
      </c>
      <c r="H110" s="21" t="n"/>
      <c r="I110" s="21" t="n"/>
      <c r="J110" s="23">
        <f>IF($A110="","",TEXT($A110,"yyyy-mm"))</f>
        <v/>
      </c>
    </row>
    <row r="111" ht="18" customHeight="1">
      <c r="A111" s="20" t="n">
        <v>46188</v>
      </c>
      <c r="B111" s="21" t="inlineStr">
        <is>
          <t>Keluar</t>
        </is>
      </c>
      <c r="C111" s="22" t="n">
        <v>306000</v>
      </c>
      <c r="D111" s="21" t="inlineStr">
        <is>
          <t>beli bahan baku</t>
        </is>
      </c>
      <c r="E111" s="21" t="inlineStr">
        <is>
          <t>Bahan Baku</t>
        </is>
      </c>
      <c r="F111" s="21" t="inlineStr">
        <is>
          <t>Tunai</t>
        </is>
      </c>
      <c r="G111" s="21" t="inlineStr">
        <is>
          <t>Disetujui</t>
        </is>
      </c>
      <c r="H111" s="21" t="n"/>
      <c r="I111" s="21" t="n"/>
      <c r="J111" s="23">
        <f>IF($A111="","",TEXT($A111,"yyyy-mm"))</f>
        <v/>
      </c>
    </row>
    <row r="112" ht="18" customHeight="1">
      <c r="A112" s="20" t="n">
        <v>46189</v>
      </c>
      <c r="B112" s="21" t="inlineStr">
        <is>
          <t>Masuk</t>
        </is>
      </c>
      <c r="C112" s="22" t="n">
        <v>404000</v>
      </c>
      <c r="D112" s="21" t="inlineStr">
        <is>
          <t>pesanan online</t>
        </is>
      </c>
      <c r="E112" s="21" t="inlineStr">
        <is>
          <t>Penjualan Tunai</t>
        </is>
      </c>
      <c r="F112" s="21" t="inlineStr">
        <is>
          <t>Tunai</t>
        </is>
      </c>
      <c r="G112" s="21" t="inlineStr">
        <is>
          <t>Disetujui</t>
        </is>
      </c>
      <c r="H112" s="21" t="n"/>
      <c r="I112" s="21" t="n"/>
      <c r="J112" s="23">
        <f>IF($A112="","",TEXT($A112,"yyyy-mm"))</f>
        <v/>
      </c>
    </row>
    <row r="113" ht="18" customHeight="1">
      <c r="A113" s="20" t="n">
        <v>46189</v>
      </c>
      <c r="B113" s="21" t="inlineStr">
        <is>
          <t>Keluar</t>
        </is>
      </c>
      <c r="C113" s="22" t="n">
        <v>279000</v>
      </c>
      <c r="D113" s="21" t="inlineStr">
        <is>
          <t>beli bahan baku</t>
        </is>
      </c>
      <c r="E113" s="21" t="inlineStr">
        <is>
          <t>Bahan Baku</t>
        </is>
      </c>
      <c r="F113" s="21" t="inlineStr">
        <is>
          <t>Tunai</t>
        </is>
      </c>
      <c r="G113" s="21" t="inlineStr">
        <is>
          <t>Disetujui</t>
        </is>
      </c>
      <c r="H113" s="21" t="n"/>
      <c r="I113" s="21" t="n"/>
      <c r="J113" s="23">
        <f>IF($A113="","",TEXT($A113,"yyyy-mm"))</f>
        <v/>
      </c>
    </row>
    <row r="114" ht="18" customHeight="1">
      <c r="A114" s="20" t="n">
        <v>46190</v>
      </c>
      <c r="B114" s="21" t="inlineStr">
        <is>
          <t>Masuk</t>
        </is>
      </c>
      <c r="C114" s="22" t="n">
        <v>725000</v>
      </c>
      <c r="D114" s="21" t="inlineStr">
        <is>
          <t>penjualan harian</t>
        </is>
      </c>
      <c r="E114" s="21" t="inlineStr">
        <is>
          <t>Penjualan Tunai</t>
        </is>
      </c>
      <c r="F114" s="21" t="inlineStr">
        <is>
          <t>Tunai</t>
        </is>
      </c>
      <c r="G114" s="21" t="inlineStr">
        <is>
          <t>Disetujui</t>
        </is>
      </c>
      <c r="H114" s="21" t="n"/>
      <c r="I114" s="21" t="n"/>
      <c r="J114" s="23">
        <f>IF($A114="","",TEXT($A114,"yyyy-mm"))</f>
        <v/>
      </c>
    </row>
    <row r="115" ht="18" customHeight="1">
      <c r="A115" s="20" t="n">
        <v>46190</v>
      </c>
      <c r="B115" s="21" t="inlineStr">
        <is>
          <t>Keluar</t>
        </is>
      </c>
      <c r="C115" s="22" t="n">
        <v>278000</v>
      </c>
      <c r="D115" s="21" t="inlineStr">
        <is>
          <t>pulsa internet</t>
        </is>
      </c>
      <c r="E115" s="21" t="inlineStr">
        <is>
          <t>Pulsa &amp; Internet</t>
        </is>
      </c>
      <c r="F115" s="21" t="inlineStr">
        <is>
          <t>Tunai</t>
        </is>
      </c>
      <c r="G115" s="21" t="inlineStr">
        <is>
          <t>Disetujui</t>
        </is>
      </c>
      <c r="H115" s="21" t="n"/>
      <c r="I115" s="21" t="n"/>
      <c r="J115" s="23">
        <f>IF($A115="","",TEXT($A115,"yyyy-mm"))</f>
        <v/>
      </c>
    </row>
    <row r="116" ht="18" customHeight="1">
      <c r="A116" s="20" t="n">
        <v>46191</v>
      </c>
      <c r="B116" s="21" t="inlineStr">
        <is>
          <t>Masuk</t>
        </is>
      </c>
      <c r="C116" s="22" t="n">
        <v>674000</v>
      </c>
      <c r="D116" s="21" t="inlineStr">
        <is>
          <t>pesanan online</t>
        </is>
      </c>
      <c r="E116" s="21" t="inlineStr">
        <is>
          <t>Penjualan Tunai</t>
        </is>
      </c>
      <c r="F116" s="21" t="inlineStr">
        <is>
          <t>Tunai</t>
        </is>
      </c>
      <c r="G116" s="21" t="inlineStr">
        <is>
          <t>Disetujui</t>
        </is>
      </c>
      <c r="H116" s="21" t="n"/>
      <c r="I116" s="21" t="n"/>
      <c r="J116" s="23">
        <f>IF($A116="","",TEXT($A116,"yyyy-mm"))</f>
        <v/>
      </c>
    </row>
    <row r="117" ht="18" customHeight="1">
      <c r="A117" s="20" t="n">
        <v>46191</v>
      </c>
      <c r="B117" s="21" t="inlineStr">
        <is>
          <t>Masuk</t>
        </is>
      </c>
      <c r="C117" s="22" t="n">
        <v>613000</v>
      </c>
      <c r="D117" s="21" t="inlineStr">
        <is>
          <t>penjualan tunai kasir</t>
        </is>
      </c>
      <c r="E117" s="21" t="inlineStr">
        <is>
          <t>Penjualan Online</t>
        </is>
      </c>
      <c r="F117" s="21" t="inlineStr">
        <is>
          <t>Tunai</t>
        </is>
      </c>
      <c r="G117" s="21" t="inlineStr">
        <is>
          <t>Disetujui</t>
        </is>
      </c>
      <c r="H117" s="21" t="n"/>
      <c r="I117" s="21" t="n"/>
      <c r="J117" s="23">
        <f>IF($A117="","",TEXT($A117,"yyyy-mm"))</f>
        <v/>
      </c>
    </row>
    <row r="118" ht="18" customHeight="1">
      <c r="A118" s="20" t="n">
        <v>46192</v>
      </c>
      <c r="B118" s="21" t="inlineStr">
        <is>
          <t>Masuk</t>
        </is>
      </c>
      <c r="C118" s="22" t="n">
        <v>403000</v>
      </c>
      <c r="D118" s="21" t="inlineStr">
        <is>
          <t>penjualan tunai kasir</t>
        </is>
      </c>
      <c r="E118" s="21" t="inlineStr">
        <is>
          <t>Penjualan Online</t>
        </is>
      </c>
      <c r="F118" s="21" t="inlineStr">
        <is>
          <t>Tunai</t>
        </is>
      </c>
      <c r="G118" s="21" t="inlineStr">
        <is>
          <t>Disetujui</t>
        </is>
      </c>
      <c r="H118" s="21" t="n"/>
      <c r="I118" s="21" t="n"/>
      <c r="J118" s="23">
        <f>IF($A118="","",TEXT($A118,"yyyy-mm"))</f>
        <v/>
      </c>
    </row>
    <row r="119" ht="18" customHeight="1">
      <c r="A119" s="20" t="n">
        <v>46192</v>
      </c>
      <c r="B119" s="21" t="inlineStr">
        <is>
          <t>Masuk</t>
        </is>
      </c>
      <c r="C119" s="22" t="n">
        <v>415000</v>
      </c>
      <c r="D119" s="21" t="inlineStr">
        <is>
          <t>jualan warung</t>
        </is>
      </c>
      <c r="E119" s="21" t="inlineStr">
        <is>
          <t>Penjualan Online</t>
        </is>
      </c>
      <c r="F119" s="21" t="inlineStr">
        <is>
          <t>Tunai</t>
        </is>
      </c>
      <c r="G119" s="21" t="inlineStr">
        <is>
          <t>Disetujui</t>
        </is>
      </c>
      <c r="H119" s="21" t="n"/>
      <c r="I119" s="21" t="n"/>
      <c r="J119" s="23">
        <f>IF($A119="","",TEXT($A119,"yyyy-mm"))</f>
        <v/>
      </c>
    </row>
    <row r="120" ht="18" customHeight="1">
      <c r="A120" s="20" t="n">
        <v>46193</v>
      </c>
      <c r="B120" s="21" t="inlineStr">
        <is>
          <t>Masuk</t>
        </is>
      </c>
      <c r="C120" s="22" t="n">
        <v>576000</v>
      </c>
      <c r="D120" s="21" t="inlineStr">
        <is>
          <t>jualan sore</t>
        </is>
      </c>
      <c r="E120" s="21" t="n"/>
      <c r="F120" s="21" t="n"/>
      <c r="G120" s="21" t="n"/>
      <c r="H120" s="21" t="n"/>
      <c r="I120" s="21" t="n"/>
      <c r="J120" s="23">
        <f>IF($A120="","",TEXT($A120,"yyyy-mm"))</f>
        <v/>
      </c>
    </row>
    <row r="121" ht="18" customHeight="1">
      <c r="A121" s="20" t="n">
        <v>46193</v>
      </c>
      <c r="B121" s="21" t="inlineStr">
        <is>
          <t>Keluar</t>
        </is>
      </c>
      <c r="C121" s="22" t="n">
        <v>143000</v>
      </c>
      <c r="D121" s="21" t="inlineStr">
        <is>
          <t>beli bahan baku</t>
        </is>
      </c>
      <c r="E121" s="21" t="n"/>
      <c r="F121" s="21" t="n"/>
      <c r="G121" s="21" t="n"/>
      <c r="H121" s="21" t="n"/>
      <c r="I121" s="21" t="n"/>
      <c r="J121" s="23">
        <f>IF($A121="","",TEXT($A121,"yyyy-mm"))</f>
        <v/>
      </c>
    </row>
    <row r="122" ht="18" customHeight="1">
      <c r="A122" s="20" t="n">
        <v>46194</v>
      </c>
      <c r="B122" s="21" t="inlineStr">
        <is>
          <t>Masuk</t>
        </is>
      </c>
      <c r="C122" s="22" t="n">
        <v>224000</v>
      </c>
      <c r="D122" s="21" t="inlineStr">
        <is>
          <t>pesanan online</t>
        </is>
      </c>
      <c r="E122" s="21" t="n"/>
      <c r="F122" s="21" t="n"/>
      <c r="G122" s="21" t="n"/>
      <c r="H122" s="21" t="n"/>
      <c r="I122" s="21" t="n"/>
      <c r="J122" s="23">
        <f>IF($A122="","",TEXT($A122,"yyyy-mm"))</f>
        <v/>
      </c>
    </row>
    <row r="123" ht="18" customHeight="1">
      <c r="A123" s="20" t="n">
        <v>46194</v>
      </c>
      <c r="B123" s="21" t="inlineStr">
        <is>
          <t>Keluar</t>
        </is>
      </c>
      <c r="C123" s="22" t="n">
        <v>349000</v>
      </c>
      <c r="D123" s="21" t="inlineStr">
        <is>
          <t>belanja pasar</t>
        </is>
      </c>
      <c r="E123" s="21" t="n"/>
      <c r="F123" s="21" t="n"/>
      <c r="G123" s="21" t="n"/>
      <c r="H123" s="21" t="n"/>
      <c r="I123" s="21" t="n"/>
      <c r="J123" s="23">
        <f>IF($A123="","",TEXT($A123,"yyyy-mm"))</f>
        <v/>
      </c>
    </row>
    <row r="124" ht="18" customHeight="1">
      <c r="A124" s="20" t="n">
        <v>46195</v>
      </c>
      <c r="B124" s="21" t="inlineStr">
        <is>
          <t>Masuk</t>
        </is>
      </c>
      <c r="C124" s="22" t="n">
        <v>524000</v>
      </c>
      <c r="D124" s="21" t="inlineStr">
        <is>
          <t>pesanan online</t>
        </is>
      </c>
      <c r="E124" s="21" t="n"/>
      <c r="F124" s="21" t="n"/>
      <c r="G124" s="21" t="n"/>
      <c r="H124" s="21" t="n"/>
      <c r="I124" s="21" t="n"/>
      <c r="J124" s="23">
        <f>IF($A124="","",TEXT($A124,"yyyy-mm"))</f>
        <v/>
      </c>
    </row>
    <row r="125" ht="18" customHeight="1">
      <c r="A125" s="20" t="n">
        <v>46195</v>
      </c>
      <c r="B125" s="21" t="inlineStr">
        <is>
          <t>Masuk</t>
        </is>
      </c>
      <c r="C125" s="22" t="n">
        <v>290000</v>
      </c>
      <c r="D125" s="21" t="inlineStr">
        <is>
          <t>jualan warung</t>
        </is>
      </c>
      <c r="E125" s="21" t="n"/>
      <c r="F125" s="21" t="n"/>
      <c r="G125" s="21" t="n"/>
      <c r="H125" s="21" t="n"/>
      <c r="I125" s="21" t="n"/>
      <c r="J125" s="23">
        <f>IF($A125="","",TEXT($A125,"yyyy-mm"))</f>
        <v/>
      </c>
    </row>
    <row r="126" ht="18" customHeight="1">
      <c r="A126" s="20" t="n">
        <v>46195</v>
      </c>
      <c r="B126" s="21" t="inlineStr">
        <is>
          <t>Keluar</t>
        </is>
      </c>
      <c r="C126" s="22" t="n">
        <v>223000</v>
      </c>
      <c r="D126" s="21" t="inlineStr">
        <is>
          <t>beli bahan baku</t>
        </is>
      </c>
      <c r="E126" s="21" t="n"/>
      <c r="F126" s="21" t="n"/>
      <c r="G126" s="21" t="n"/>
      <c r="H126" s="21" t="n"/>
      <c r="I126" s="21" t="n"/>
      <c r="J126" s="23">
        <f>IF($A126="","",TEXT($A126,"yyyy-mm"))</f>
        <v/>
      </c>
    </row>
    <row r="127" ht="18" customHeight="1">
      <c r="A127" s="20" t="n">
        <v>46196</v>
      </c>
      <c r="B127" s="21" t="inlineStr">
        <is>
          <t>Masuk</t>
        </is>
      </c>
      <c r="C127" s="22" t="n">
        <v>316000</v>
      </c>
      <c r="D127" s="21" t="inlineStr">
        <is>
          <t>jualan warung</t>
        </is>
      </c>
      <c r="E127" s="21" t="n"/>
      <c r="F127" s="21" t="n"/>
      <c r="G127" s="21" t="n"/>
      <c r="H127" s="21" t="n"/>
      <c r="I127" s="21" t="n"/>
      <c r="J127" s="23">
        <f>IF($A127="","",TEXT($A127,"yyyy-mm"))</f>
        <v/>
      </c>
    </row>
    <row r="128" ht="18" customHeight="1">
      <c r="A128" s="20" t="n">
        <v>46196</v>
      </c>
      <c r="B128" s="21" t="inlineStr">
        <is>
          <t>Keluar</t>
        </is>
      </c>
      <c r="C128" s="22" t="n">
        <v>283000</v>
      </c>
      <c r="D128" s="21" t="inlineStr">
        <is>
          <t>beli plastik kemasan</t>
        </is>
      </c>
      <c r="E128" s="21" t="n"/>
      <c r="F128" s="21" t="n"/>
      <c r="G128" s="21" t="n"/>
      <c r="H128" s="21" t="n"/>
      <c r="I128" s="21" t="n"/>
      <c r="J128" s="23">
        <f>IF($A128="","",TEXT($A128,"yyyy-mm"))</f>
        <v/>
      </c>
    </row>
    <row r="129" ht="18" customHeight="1">
      <c r="A129" s="20" t="n">
        <v>46197</v>
      </c>
      <c r="B129" s="21" t="inlineStr">
        <is>
          <t>Masuk</t>
        </is>
      </c>
      <c r="C129" s="22" t="n">
        <v>497000</v>
      </c>
      <c r="D129" s="21" t="inlineStr">
        <is>
          <t>jualan warung</t>
        </is>
      </c>
      <c r="E129" s="21" t="n"/>
      <c r="F129" s="21" t="n"/>
      <c r="G129" s="21" t="n"/>
      <c r="H129" s="21" t="n"/>
      <c r="I129" s="21" t="n"/>
      <c r="J129" s="23">
        <f>IF($A129="","",TEXT($A129,"yyyy-mm"))</f>
        <v/>
      </c>
    </row>
    <row r="130" ht="18" customHeight="1">
      <c r="A130" s="20" t="n">
        <v>46197</v>
      </c>
      <c r="B130" s="21" t="inlineStr">
        <is>
          <t>Keluar</t>
        </is>
      </c>
      <c r="C130" s="22" t="n">
        <v>207000</v>
      </c>
      <c r="D130" s="21" t="inlineStr">
        <is>
          <t>beli bahan baku</t>
        </is>
      </c>
      <c r="E130" s="21" t="n"/>
      <c r="F130" s="21" t="n"/>
      <c r="G130" s="21" t="n"/>
      <c r="H130" s="21" t="n"/>
      <c r="I130" s="21" t="n"/>
      <c r="J130" s="23">
        <f>IF($A130="","",TEXT($A130,"yyyy-mm"))</f>
        <v/>
      </c>
    </row>
    <row r="131" ht="18" customHeight="1">
      <c r="A131" s="20" t="n">
        <v>46198</v>
      </c>
      <c r="B131" s="21" t="inlineStr">
        <is>
          <t>Masuk</t>
        </is>
      </c>
      <c r="C131" s="22" t="n">
        <v>496000</v>
      </c>
      <c r="D131" s="21" t="inlineStr">
        <is>
          <t>jualan sore</t>
        </is>
      </c>
      <c r="E131" s="21" t="n"/>
      <c r="F131" s="21" t="n"/>
      <c r="G131" s="21" t="n"/>
      <c r="H131" s="21" t="n"/>
      <c r="I131" s="21" t="n"/>
      <c r="J131" s="23">
        <f>IF($A131="","",TEXT($A131,"yyyy-mm"))</f>
        <v/>
      </c>
    </row>
    <row r="132" ht="18" customHeight="1">
      <c r="A132" s="20" t="n">
        <v>46198</v>
      </c>
      <c r="B132" s="21" t="inlineStr">
        <is>
          <t>Keluar</t>
        </is>
      </c>
      <c r="C132" s="22" t="n">
        <v>216000</v>
      </c>
      <c r="D132" s="21" t="inlineStr">
        <is>
          <t>beli bahan baku</t>
        </is>
      </c>
      <c r="E132" s="21" t="n"/>
      <c r="F132" s="21" t="n"/>
      <c r="G132" s="21" t="n"/>
      <c r="H132" s="21" t="n"/>
      <c r="I132" s="21" t="n"/>
      <c r="J132" s="23">
        <f>IF($A132="","",TEXT($A132,"yyyy-mm"))</f>
        <v/>
      </c>
    </row>
    <row r="133" ht="18" customHeight="1">
      <c r="A133" s="20" t="n">
        <v>46199</v>
      </c>
      <c r="B133" s="21" t="inlineStr">
        <is>
          <t>Masuk</t>
        </is>
      </c>
      <c r="C133" s="22" t="n">
        <v>679000</v>
      </c>
      <c r="D133" s="21" t="inlineStr">
        <is>
          <t>pesanan online</t>
        </is>
      </c>
      <c r="E133" s="21" t="n"/>
      <c r="F133" s="21" t="n"/>
      <c r="G133" s="21" t="n"/>
      <c r="H133" s="21" t="n"/>
      <c r="I133" s="21" t="n"/>
      <c r="J133" s="23">
        <f>IF($A133="","",TEXT($A133,"yyyy-mm"))</f>
        <v/>
      </c>
    </row>
    <row r="134" ht="18" customHeight="1">
      <c r="A134" s="20" t="n">
        <v>46199</v>
      </c>
      <c r="B134" s="21" t="inlineStr">
        <is>
          <t>Keluar</t>
        </is>
      </c>
      <c r="C134" s="22" t="n">
        <v>77000</v>
      </c>
      <c r="D134" s="21" t="inlineStr">
        <is>
          <t>beli bahan baku</t>
        </is>
      </c>
      <c r="E134" s="21" t="n"/>
      <c r="F134" s="21" t="n"/>
      <c r="G134" s="21" t="n"/>
      <c r="H134" s="21" t="n"/>
      <c r="I134" s="21" t="n"/>
      <c r="J134" s="23">
        <f>IF($A134="","",TEXT($A134,"yyyy-mm"))</f>
        <v/>
      </c>
    </row>
    <row r="135" ht="18" customHeight="1">
      <c r="A135" s="20" t="n">
        <v>46200</v>
      </c>
      <c r="B135" s="21" t="inlineStr">
        <is>
          <t>Masuk</t>
        </is>
      </c>
      <c r="C135" s="22" t="n">
        <v>257000</v>
      </c>
      <c r="D135" s="21" t="inlineStr">
        <is>
          <t>pesanan online</t>
        </is>
      </c>
      <c r="E135" s="21" t="n"/>
      <c r="F135" s="21" t="n"/>
      <c r="G135" s="21" t="n"/>
      <c r="H135" s="21" t="n"/>
      <c r="I135" s="21" t="n"/>
      <c r="J135" s="23">
        <f>IF($A135="","",TEXT($A135,"yyyy-mm"))</f>
        <v/>
      </c>
    </row>
    <row r="136" ht="18" customHeight="1">
      <c r="A136" s="20" t="n">
        <v>46200</v>
      </c>
      <c r="B136" s="21" t="inlineStr">
        <is>
          <t>Keluar</t>
        </is>
      </c>
      <c r="C136" s="22" t="n">
        <v>158000</v>
      </c>
      <c r="D136" s="21" t="inlineStr">
        <is>
          <t>belanja pasar</t>
        </is>
      </c>
      <c r="E136" s="21" t="n"/>
      <c r="F136" s="21" t="n"/>
      <c r="G136" s="21" t="n"/>
      <c r="H136" s="21" t="n"/>
      <c r="I136" s="21" t="n"/>
      <c r="J136" s="23">
        <f>IF($A136="","",TEXT($A136,"yyyy-mm"))</f>
        <v/>
      </c>
    </row>
    <row r="137" ht="18" customHeight="1">
      <c r="A137" s="20" t="n">
        <v>46201</v>
      </c>
      <c r="B137" s="21" t="inlineStr">
        <is>
          <t>Masuk</t>
        </is>
      </c>
      <c r="C137" s="22" t="n">
        <v>582000</v>
      </c>
      <c r="D137" s="21" t="inlineStr">
        <is>
          <t>pesanan online</t>
        </is>
      </c>
      <c r="E137" s="21" t="n"/>
      <c r="F137" s="21" t="n"/>
      <c r="G137" s="21" t="n"/>
      <c r="H137" s="21" t="n"/>
      <c r="I137" s="21" t="n"/>
      <c r="J137" s="23">
        <f>IF($A137="","",TEXT($A137,"yyyy-mm"))</f>
        <v/>
      </c>
    </row>
    <row r="138" ht="18" customHeight="1">
      <c r="A138" s="20" t="n">
        <v>46201</v>
      </c>
      <c r="B138" s="21" t="inlineStr">
        <is>
          <t>Keluar</t>
        </is>
      </c>
      <c r="C138" s="22" t="n">
        <v>283000</v>
      </c>
      <c r="D138" s="21" t="inlineStr">
        <is>
          <t>pulsa internet</t>
        </is>
      </c>
      <c r="E138" s="21" t="n"/>
      <c r="F138" s="21" t="n"/>
      <c r="G138" s="21" t="n"/>
      <c r="H138" s="21" t="n"/>
      <c r="I138" s="21" t="n"/>
      <c r="J138" s="23">
        <f>IF($A138="","",TEXT($A138,"yyyy-mm"))</f>
        <v/>
      </c>
    </row>
    <row r="139" ht="18" customHeight="1">
      <c r="A139" s="20" t="n">
        <v>46202</v>
      </c>
      <c r="B139" s="21" t="inlineStr">
        <is>
          <t>Masuk</t>
        </is>
      </c>
      <c r="C139" s="22" t="n">
        <v>656000</v>
      </c>
      <c r="D139" s="21" t="inlineStr">
        <is>
          <t>pesanan online</t>
        </is>
      </c>
      <c r="E139" s="21" t="n"/>
      <c r="F139" s="21" t="n"/>
      <c r="G139" s="21" t="n"/>
      <c r="H139" s="21" t="n"/>
      <c r="I139" s="21" t="n"/>
      <c r="J139" s="23">
        <f>IF($A139="","",TEXT($A139,"yyyy-mm"))</f>
        <v/>
      </c>
    </row>
    <row r="140" ht="18" customHeight="1">
      <c r="A140" s="20" t="n">
        <v>46202</v>
      </c>
      <c r="B140" s="21" t="inlineStr">
        <is>
          <t>Masuk</t>
        </is>
      </c>
      <c r="C140" s="22" t="n">
        <v>241000</v>
      </c>
      <c r="D140" s="21" t="inlineStr">
        <is>
          <t>penjualan harian</t>
        </is>
      </c>
      <c r="E140" s="21" t="n"/>
      <c r="F140" s="21" t="n"/>
      <c r="G140" s="21" t="n"/>
      <c r="H140" s="21" t="n"/>
      <c r="I140" s="21" t="n"/>
      <c r="J140" s="23">
        <f>IF($A140="","",TEXT($A140,"yyyy-mm"))</f>
        <v/>
      </c>
    </row>
    <row r="141" ht="18" customHeight="1">
      <c r="A141" s="20" t="n">
        <v>46202</v>
      </c>
      <c r="B141" s="21" t="inlineStr">
        <is>
          <t>Keluar</t>
        </is>
      </c>
      <c r="C141" s="22" t="n">
        <v>237000</v>
      </c>
      <c r="D141" s="21" t="inlineStr">
        <is>
          <t>belanja pasar</t>
        </is>
      </c>
      <c r="E141" s="21" t="n"/>
      <c r="F141" s="21" t="n"/>
      <c r="G141" s="21" t="n"/>
      <c r="H141" s="21" t="n"/>
      <c r="I141" s="21" t="n"/>
      <c r="J141" s="23">
        <f>IF($A141="","",TEXT($A141,"yyyy-mm"))</f>
        <v/>
      </c>
    </row>
    <row r="142" ht="18" customHeight="1">
      <c r="A142" s="20" t="n">
        <v>46203</v>
      </c>
      <c r="B142" s="21" t="inlineStr">
        <is>
          <t>Masuk</t>
        </is>
      </c>
      <c r="C142" s="22" t="n">
        <v>425000</v>
      </c>
      <c r="D142" s="21" t="inlineStr">
        <is>
          <t>penjualan harian</t>
        </is>
      </c>
      <c r="E142" s="21" t="n"/>
      <c r="F142" s="21" t="n"/>
      <c r="G142" s="21" t="n"/>
      <c r="H142" s="21" t="n"/>
      <c r="I142" s="21" t="n"/>
      <c r="J142" s="23">
        <f>IF($A142="","",TEXT($A142,"yyyy-mm"))</f>
        <v/>
      </c>
    </row>
    <row r="143" ht="18" customHeight="1">
      <c r="A143" s="20" t="n"/>
      <c r="B143" s="21" t="n"/>
      <c r="C143" s="22" t="n"/>
      <c r="D143" s="21" t="n"/>
      <c r="E143" s="21" t="n"/>
      <c r="F143" s="21" t="n"/>
      <c r="G143" s="21" t="n"/>
      <c r="H143" s="21" t="n"/>
      <c r="I143" s="21" t="n"/>
      <c r="J143" s="23">
        <f>IF($A143="","",TEXT($A143,"yyyy-mm"))</f>
        <v/>
      </c>
    </row>
    <row r="144" ht="18" customHeight="1">
      <c r="A144" s="20" t="n"/>
      <c r="B144" s="21" t="n"/>
      <c r="C144" s="22" t="n"/>
      <c r="D144" s="21" t="n"/>
      <c r="E144" s="21" t="n"/>
      <c r="F144" s="21" t="n"/>
      <c r="G144" s="21" t="n"/>
      <c r="H144" s="21" t="n"/>
      <c r="I144" s="21" t="n"/>
      <c r="J144" s="23">
        <f>IF($A144="","",TEXT($A144,"yyyy-mm"))</f>
        <v/>
      </c>
    </row>
    <row r="145" ht="18" customHeight="1">
      <c r="A145" s="20" t="n"/>
      <c r="B145" s="21" t="n"/>
      <c r="C145" s="22" t="n"/>
      <c r="D145" s="21" t="n"/>
      <c r="E145" s="21" t="n"/>
      <c r="F145" s="21" t="n"/>
      <c r="G145" s="21" t="n"/>
      <c r="H145" s="21" t="n"/>
      <c r="I145" s="21" t="n"/>
      <c r="J145" s="23">
        <f>IF($A145="","",TEXT($A145,"yyyy-mm"))</f>
        <v/>
      </c>
    </row>
    <row r="146" ht="18" customHeight="1">
      <c r="A146" s="20" t="n"/>
      <c r="B146" s="21" t="n"/>
      <c r="C146" s="22" t="n"/>
      <c r="D146" s="21" t="n"/>
      <c r="E146" s="21" t="n"/>
      <c r="F146" s="21" t="n"/>
      <c r="G146" s="21" t="n"/>
      <c r="H146" s="21" t="n"/>
      <c r="I146" s="21" t="n"/>
      <c r="J146" s="23">
        <f>IF($A146="","",TEXT($A146,"yyyy-mm"))</f>
        <v/>
      </c>
    </row>
    <row r="147" ht="18" customHeight="1">
      <c r="A147" s="20" t="n"/>
      <c r="B147" s="21" t="n"/>
      <c r="C147" s="22" t="n"/>
      <c r="D147" s="21" t="n"/>
      <c r="E147" s="21" t="n"/>
      <c r="F147" s="21" t="n"/>
      <c r="G147" s="21" t="n"/>
      <c r="H147" s="21" t="n"/>
      <c r="I147" s="21" t="n"/>
      <c r="J147" s="23">
        <f>IF($A147="","",TEXT($A147,"yyyy-mm"))</f>
        <v/>
      </c>
    </row>
    <row r="148" ht="18" customHeight="1">
      <c r="A148" s="20" t="n"/>
      <c r="B148" s="21" t="n"/>
      <c r="C148" s="22" t="n"/>
      <c r="D148" s="21" t="n"/>
      <c r="E148" s="21" t="n"/>
      <c r="F148" s="21" t="n"/>
      <c r="G148" s="21" t="n"/>
      <c r="H148" s="21" t="n"/>
      <c r="I148" s="21" t="n"/>
      <c r="J148" s="23">
        <f>IF($A148="","",TEXT($A148,"yyyy-mm"))</f>
        <v/>
      </c>
    </row>
    <row r="149" ht="18" customHeight="1">
      <c r="A149" s="20" t="n"/>
      <c r="B149" s="21" t="n"/>
      <c r="C149" s="22" t="n"/>
      <c r="D149" s="21" t="n"/>
      <c r="E149" s="21" t="n"/>
      <c r="F149" s="21" t="n"/>
      <c r="G149" s="21" t="n"/>
      <c r="H149" s="21" t="n"/>
      <c r="I149" s="21" t="n"/>
      <c r="J149" s="23">
        <f>IF($A149="","",TEXT($A149,"yyyy-mm"))</f>
        <v/>
      </c>
    </row>
    <row r="150" ht="18" customHeight="1">
      <c r="A150" s="20" t="n"/>
      <c r="B150" s="21" t="n"/>
      <c r="C150" s="22" t="n"/>
      <c r="D150" s="21" t="n"/>
      <c r="E150" s="21" t="n"/>
      <c r="F150" s="21" t="n"/>
      <c r="G150" s="21" t="n"/>
      <c r="H150" s="21" t="n"/>
      <c r="I150" s="21" t="n"/>
      <c r="J150" s="23">
        <f>IF($A150="","",TEXT($A150,"yyyy-mm"))</f>
        <v/>
      </c>
    </row>
    <row r="151" ht="18" customHeight="1">
      <c r="A151" s="20" t="n"/>
      <c r="B151" s="21" t="n"/>
      <c r="C151" s="22" t="n"/>
      <c r="D151" s="21" t="n"/>
      <c r="E151" s="21" t="n"/>
      <c r="F151" s="21" t="n"/>
      <c r="G151" s="21" t="n"/>
      <c r="H151" s="21" t="n"/>
      <c r="I151" s="21" t="n"/>
      <c r="J151" s="23">
        <f>IF($A151="","",TEXT($A151,"yyyy-mm"))</f>
        <v/>
      </c>
    </row>
    <row r="152" ht="18" customHeight="1">
      <c r="A152" s="20" t="n"/>
      <c r="B152" s="21" t="n"/>
      <c r="C152" s="22" t="n"/>
      <c r="D152" s="21" t="n"/>
      <c r="E152" s="21" t="n"/>
      <c r="F152" s="21" t="n"/>
      <c r="G152" s="21" t="n"/>
      <c r="H152" s="21" t="n"/>
      <c r="I152" s="21" t="n"/>
      <c r="J152" s="23">
        <f>IF($A152="","",TEXT($A152,"yyyy-mm"))</f>
        <v/>
      </c>
    </row>
    <row r="153" ht="18" customHeight="1">
      <c r="A153" s="20" t="n"/>
      <c r="B153" s="21" t="n"/>
      <c r="C153" s="22" t="n"/>
      <c r="D153" s="21" t="n"/>
      <c r="E153" s="21" t="n"/>
      <c r="F153" s="21" t="n"/>
      <c r="G153" s="21" t="n"/>
      <c r="H153" s="21" t="n"/>
      <c r="I153" s="21" t="n"/>
      <c r="J153" s="23">
        <f>IF($A153="","",TEXT($A153,"yyyy-mm"))</f>
        <v/>
      </c>
    </row>
    <row r="154" ht="18" customHeight="1">
      <c r="A154" s="20" t="n"/>
      <c r="B154" s="21" t="n"/>
      <c r="C154" s="22" t="n"/>
      <c r="D154" s="21" t="n"/>
      <c r="E154" s="21" t="n"/>
      <c r="F154" s="21" t="n"/>
      <c r="G154" s="21" t="n"/>
      <c r="H154" s="21" t="n"/>
      <c r="I154" s="21" t="n"/>
      <c r="J154" s="23">
        <f>IF($A154="","",TEXT($A154,"yyyy-mm"))</f>
        <v/>
      </c>
    </row>
    <row r="155" ht="18" customHeight="1">
      <c r="A155" s="20" t="n"/>
      <c r="B155" s="21" t="n"/>
      <c r="C155" s="22" t="n"/>
      <c r="D155" s="21" t="n"/>
      <c r="E155" s="21" t="n"/>
      <c r="F155" s="21" t="n"/>
      <c r="G155" s="21" t="n"/>
      <c r="H155" s="21" t="n"/>
      <c r="I155" s="21" t="n"/>
      <c r="J155" s="23">
        <f>IF($A155="","",TEXT($A155,"yyyy-mm"))</f>
        <v/>
      </c>
    </row>
    <row r="156" ht="18" customHeight="1">
      <c r="A156" s="20" t="n"/>
      <c r="B156" s="21" t="n"/>
      <c r="C156" s="22" t="n"/>
      <c r="D156" s="21" t="n"/>
      <c r="E156" s="21" t="n"/>
      <c r="F156" s="21" t="n"/>
      <c r="G156" s="21" t="n"/>
      <c r="H156" s="21" t="n"/>
      <c r="I156" s="21" t="n"/>
      <c r="J156" s="23">
        <f>IF($A156="","",TEXT($A156,"yyyy-mm"))</f>
        <v/>
      </c>
    </row>
    <row r="157" ht="18" customHeight="1">
      <c r="A157" s="20" t="n"/>
      <c r="B157" s="21" t="n"/>
      <c r="C157" s="22" t="n"/>
      <c r="D157" s="21" t="n"/>
      <c r="E157" s="21" t="n"/>
      <c r="F157" s="21" t="n"/>
      <c r="G157" s="21" t="n"/>
      <c r="H157" s="21" t="n"/>
      <c r="I157" s="21" t="n"/>
      <c r="J157" s="23">
        <f>IF($A157="","",TEXT($A157,"yyyy-mm"))</f>
        <v/>
      </c>
    </row>
    <row r="158" ht="18" customHeight="1">
      <c r="A158" s="20" t="n"/>
      <c r="B158" s="21" t="n"/>
      <c r="C158" s="22" t="n"/>
      <c r="D158" s="21" t="n"/>
      <c r="E158" s="21" t="n"/>
      <c r="F158" s="21" t="n"/>
      <c r="G158" s="21" t="n"/>
      <c r="H158" s="21" t="n"/>
      <c r="I158" s="21" t="n"/>
      <c r="J158" s="23">
        <f>IF($A158="","",TEXT($A158,"yyyy-mm"))</f>
        <v/>
      </c>
    </row>
    <row r="159" ht="18" customHeight="1">
      <c r="A159" s="20" t="n"/>
      <c r="B159" s="21" t="n"/>
      <c r="C159" s="22" t="n"/>
      <c r="D159" s="21" t="n"/>
      <c r="E159" s="21" t="n"/>
      <c r="F159" s="21" t="n"/>
      <c r="G159" s="21" t="n"/>
      <c r="H159" s="21" t="n"/>
      <c r="I159" s="21" t="n"/>
      <c r="J159" s="23">
        <f>IF($A159="","",TEXT($A159,"yyyy-mm"))</f>
        <v/>
      </c>
    </row>
    <row r="160" ht="18" customHeight="1">
      <c r="A160" s="20" t="n"/>
      <c r="B160" s="21" t="n"/>
      <c r="C160" s="22" t="n"/>
      <c r="D160" s="21" t="n"/>
      <c r="E160" s="21" t="n"/>
      <c r="F160" s="21" t="n"/>
      <c r="G160" s="21" t="n"/>
      <c r="H160" s="21" t="n"/>
      <c r="I160" s="21" t="n"/>
      <c r="J160" s="23">
        <f>IF($A160="","",TEXT($A160,"yyyy-mm"))</f>
        <v/>
      </c>
    </row>
    <row r="161" ht="18" customHeight="1">
      <c r="A161" s="20" t="n"/>
      <c r="B161" s="21" t="n"/>
      <c r="C161" s="22" t="n"/>
      <c r="D161" s="21" t="n"/>
      <c r="E161" s="21" t="n"/>
      <c r="F161" s="21" t="n"/>
      <c r="G161" s="21" t="n"/>
      <c r="H161" s="21" t="n"/>
      <c r="I161" s="21" t="n"/>
      <c r="J161" s="23">
        <f>IF($A161="","",TEXT($A161,"yyyy-mm"))</f>
        <v/>
      </c>
    </row>
    <row r="162" ht="18" customHeight="1">
      <c r="A162" s="20" t="n"/>
      <c r="B162" s="21" t="n"/>
      <c r="C162" s="22" t="n"/>
      <c r="D162" s="21" t="n"/>
      <c r="E162" s="21" t="n"/>
      <c r="F162" s="21" t="n"/>
      <c r="G162" s="21" t="n"/>
      <c r="H162" s="21" t="n"/>
      <c r="I162" s="21" t="n"/>
      <c r="J162" s="23">
        <f>IF($A162="","",TEXT($A162,"yyyy-mm"))</f>
        <v/>
      </c>
    </row>
    <row r="163" ht="18" customHeight="1">
      <c r="A163" s="20" t="n"/>
      <c r="B163" s="21" t="n"/>
      <c r="C163" s="22" t="n"/>
      <c r="D163" s="21" t="n"/>
      <c r="E163" s="21" t="n"/>
      <c r="F163" s="21" t="n"/>
      <c r="G163" s="21" t="n"/>
      <c r="H163" s="21" t="n"/>
      <c r="I163" s="21" t="n"/>
      <c r="J163" s="23">
        <f>IF($A163="","",TEXT($A163,"yyyy-mm"))</f>
        <v/>
      </c>
    </row>
    <row r="164" ht="18" customHeight="1">
      <c r="A164" s="20" t="n"/>
      <c r="B164" s="21" t="n"/>
      <c r="C164" s="22" t="n"/>
      <c r="D164" s="21" t="n"/>
      <c r="E164" s="21" t="n"/>
      <c r="F164" s="21" t="n"/>
      <c r="G164" s="21" t="n"/>
      <c r="H164" s="21" t="n"/>
      <c r="I164" s="21" t="n"/>
      <c r="J164" s="23">
        <f>IF($A164="","",TEXT($A164,"yyyy-mm"))</f>
        <v/>
      </c>
    </row>
    <row r="165" ht="18" customHeight="1">
      <c r="A165" s="20" t="n"/>
      <c r="B165" s="21" t="n"/>
      <c r="C165" s="22" t="n"/>
      <c r="D165" s="21" t="n"/>
      <c r="E165" s="21" t="n"/>
      <c r="F165" s="21" t="n"/>
      <c r="G165" s="21" t="n"/>
      <c r="H165" s="21" t="n"/>
      <c r="I165" s="21" t="n"/>
      <c r="J165" s="23">
        <f>IF($A165="","",TEXT($A165,"yyyy-mm"))</f>
        <v/>
      </c>
    </row>
    <row r="166" ht="18" customHeight="1">
      <c r="A166" s="20" t="n"/>
      <c r="B166" s="21" t="n"/>
      <c r="C166" s="22" t="n"/>
      <c r="D166" s="21" t="n"/>
      <c r="E166" s="21" t="n"/>
      <c r="F166" s="21" t="n"/>
      <c r="G166" s="21" t="n"/>
      <c r="H166" s="21" t="n"/>
      <c r="I166" s="21" t="n"/>
      <c r="J166" s="23">
        <f>IF($A166="","",TEXT($A166,"yyyy-mm"))</f>
        <v/>
      </c>
    </row>
    <row r="167" ht="18" customHeight="1">
      <c r="A167" s="20" t="n"/>
      <c r="B167" s="21" t="n"/>
      <c r="C167" s="22" t="n"/>
      <c r="D167" s="21" t="n"/>
      <c r="E167" s="21" t="n"/>
      <c r="F167" s="21" t="n"/>
      <c r="G167" s="21" t="n"/>
      <c r="H167" s="21" t="n"/>
      <c r="I167" s="21" t="n"/>
      <c r="J167" s="23">
        <f>IF($A167="","",TEXT($A167,"yyyy-mm"))</f>
        <v/>
      </c>
    </row>
    <row r="168" ht="18" customHeight="1">
      <c r="A168" s="20" t="n"/>
      <c r="B168" s="21" t="n"/>
      <c r="C168" s="22" t="n"/>
      <c r="D168" s="21" t="n"/>
      <c r="E168" s="21" t="n"/>
      <c r="F168" s="21" t="n"/>
      <c r="G168" s="21" t="n"/>
      <c r="H168" s="21" t="n"/>
      <c r="I168" s="21" t="n"/>
      <c r="J168" s="23">
        <f>IF($A168="","",TEXT($A168,"yyyy-mm"))</f>
        <v/>
      </c>
    </row>
    <row r="169" ht="18" customHeight="1">
      <c r="A169" s="20" t="n"/>
      <c r="B169" s="21" t="n"/>
      <c r="C169" s="22" t="n"/>
      <c r="D169" s="21" t="n"/>
      <c r="E169" s="21" t="n"/>
      <c r="F169" s="21" t="n"/>
      <c r="G169" s="21" t="n"/>
      <c r="H169" s="21" t="n"/>
      <c r="I169" s="21" t="n"/>
      <c r="J169" s="23">
        <f>IF($A169="","",TEXT($A169,"yyyy-mm"))</f>
        <v/>
      </c>
    </row>
    <row r="170" ht="18" customHeight="1">
      <c r="A170" s="20" t="n"/>
      <c r="B170" s="21" t="n"/>
      <c r="C170" s="22" t="n"/>
      <c r="D170" s="21" t="n"/>
      <c r="E170" s="21" t="n"/>
      <c r="F170" s="21" t="n"/>
      <c r="G170" s="21" t="n"/>
      <c r="H170" s="21" t="n"/>
      <c r="I170" s="21" t="n"/>
      <c r="J170" s="23">
        <f>IF($A170="","",TEXT($A170,"yyyy-mm"))</f>
        <v/>
      </c>
    </row>
    <row r="171" ht="18" customHeight="1">
      <c r="A171" s="20" t="n"/>
      <c r="B171" s="21" t="n"/>
      <c r="C171" s="22" t="n"/>
      <c r="D171" s="21" t="n"/>
      <c r="E171" s="21" t="n"/>
      <c r="F171" s="21" t="n"/>
      <c r="G171" s="21" t="n"/>
      <c r="H171" s="21" t="n"/>
      <c r="I171" s="21" t="n"/>
      <c r="J171" s="23">
        <f>IF($A171="","",TEXT($A171,"yyyy-mm"))</f>
        <v/>
      </c>
    </row>
    <row r="172" ht="18" customHeight="1">
      <c r="A172" s="20" t="n"/>
      <c r="B172" s="21" t="n"/>
      <c r="C172" s="22" t="n"/>
      <c r="D172" s="21" t="n"/>
      <c r="E172" s="21" t="n"/>
      <c r="F172" s="21" t="n"/>
      <c r="G172" s="21" t="n"/>
      <c r="H172" s="21" t="n"/>
      <c r="I172" s="21" t="n"/>
      <c r="J172" s="23">
        <f>IF($A172="","",TEXT($A172,"yyyy-mm"))</f>
        <v/>
      </c>
    </row>
    <row r="173" ht="18" customHeight="1">
      <c r="A173" s="20" t="n"/>
      <c r="B173" s="21" t="n"/>
      <c r="C173" s="22" t="n"/>
      <c r="D173" s="21" t="n"/>
      <c r="E173" s="21" t="n"/>
      <c r="F173" s="21" t="n"/>
      <c r="G173" s="21" t="n"/>
      <c r="H173" s="21" t="n"/>
      <c r="I173" s="21" t="n"/>
      <c r="J173" s="23">
        <f>IF($A173="","",TEXT($A173,"yyyy-mm"))</f>
        <v/>
      </c>
    </row>
    <row r="174" ht="18" customHeight="1">
      <c r="A174" s="20" t="n"/>
      <c r="B174" s="21" t="n"/>
      <c r="C174" s="22" t="n"/>
      <c r="D174" s="21" t="n"/>
      <c r="E174" s="21" t="n"/>
      <c r="F174" s="21" t="n"/>
      <c r="G174" s="21" t="n"/>
      <c r="H174" s="21" t="n"/>
      <c r="I174" s="21" t="n"/>
      <c r="J174" s="23">
        <f>IF($A174="","",TEXT($A174,"yyyy-mm"))</f>
        <v/>
      </c>
    </row>
    <row r="175" ht="18" customHeight="1">
      <c r="A175" s="20" t="n"/>
      <c r="B175" s="21" t="n"/>
      <c r="C175" s="22" t="n"/>
      <c r="D175" s="21" t="n"/>
      <c r="E175" s="21" t="n"/>
      <c r="F175" s="21" t="n"/>
      <c r="G175" s="21" t="n"/>
      <c r="H175" s="21" t="n"/>
      <c r="I175" s="21" t="n"/>
      <c r="J175" s="23">
        <f>IF($A175="","",TEXT($A175,"yyyy-mm"))</f>
        <v/>
      </c>
    </row>
    <row r="176" ht="18" customHeight="1">
      <c r="A176" s="20" t="n"/>
      <c r="B176" s="21" t="n"/>
      <c r="C176" s="22" t="n"/>
      <c r="D176" s="21" t="n"/>
      <c r="E176" s="21" t="n"/>
      <c r="F176" s="21" t="n"/>
      <c r="G176" s="21" t="n"/>
      <c r="H176" s="21" t="n"/>
      <c r="I176" s="21" t="n"/>
      <c r="J176" s="23">
        <f>IF($A176="","",TEXT($A176,"yyyy-mm"))</f>
        <v/>
      </c>
    </row>
    <row r="177" ht="18" customHeight="1">
      <c r="A177" s="20" t="n"/>
      <c r="B177" s="21" t="n"/>
      <c r="C177" s="22" t="n"/>
      <c r="D177" s="21" t="n"/>
      <c r="E177" s="21" t="n"/>
      <c r="F177" s="21" t="n"/>
      <c r="G177" s="21" t="n"/>
      <c r="H177" s="21" t="n"/>
      <c r="I177" s="21" t="n"/>
      <c r="J177" s="23">
        <f>IF($A177="","",TEXT($A177,"yyyy-mm"))</f>
        <v/>
      </c>
    </row>
    <row r="178" ht="18" customHeight="1">
      <c r="A178" s="20" t="n"/>
      <c r="B178" s="21" t="n"/>
      <c r="C178" s="22" t="n"/>
      <c r="D178" s="21" t="n"/>
      <c r="E178" s="21" t="n"/>
      <c r="F178" s="21" t="n"/>
      <c r="G178" s="21" t="n"/>
      <c r="H178" s="21" t="n"/>
      <c r="I178" s="21" t="n"/>
      <c r="J178" s="23">
        <f>IF($A178="","",TEXT($A178,"yyyy-mm"))</f>
        <v/>
      </c>
    </row>
    <row r="179" ht="18" customHeight="1">
      <c r="A179" s="20" t="n"/>
      <c r="B179" s="21" t="n"/>
      <c r="C179" s="22" t="n"/>
      <c r="D179" s="21" t="n"/>
      <c r="E179" s="21" t="n"/>
      <c r="F179" s="21" t="n"/>
      <c r="G179" s="21" t="n"/>
      <c r="H179" s="21" t="n"/>
      <c r="I179" s="21" t="n"/>
      <c r="J179" s="23">
        <f>IF($A179="","",TEXT($A179,"yyyy-mm"))</f>
        <v/>
      </c>
    </row>
    <row r="180" ht="18" customHeight="1">
      <c r="A180" s="20" t="n"/>
      <c r="B180" s="21" t="n"/>
      <c r="C180" s="22" t="n"/>
      <c r="D180" s="21" t="n"/>
      <c r="E180" s="21" t="n"/>
      <c r="F180" s="21" t="n"/>
      <c r="G180" s="21" t="n"/>
      <c r="H180" s="21" t="n"/>
      <c r="I180" s="21" t="n"/>
      <c r="J180" s="23">
        <f>IF($A180="","",TEXT($A180,"yyyy-mm"))</f>
        <v/>
      </c>
    </row>
    <row r="181" ht="18" customHeight="1">
      <c r="A181" s="20" t="n"/>
      <c r="B181" s="21" t="n"/>
      <c r="C181" s="22" t="n"/>
      <c r="D181" s="21" t="n"/>
      <c r="E181" s="21" t="n"/>
      <c r="F181" s="21" t="n"/>
      <c r="G181" s="21" t="n"/>
      <c r="H181" s="21" t="n"/>
      <c r="I181" s="21" t="n"/>
      <c r="J181" s="23">
        <f>IF($A181="","",TEXT($A181,"yyyy-mm"))</f>
        <v/>
      </c>
    </row>
    <row r="182" ht="18" customHeight="1">
      <c r="A182" s="20" t="n"/>
      <c r="B182" s="21" t="n"/>
      <c r="C182" s="22" t="n"/>
      <c r="D182" s="21" t="n"/>
      <c r="E182" s="21" t="n"/>
      <c r="F182" s="21" t="n"/>
      <c r="G182" s="21" t="n"/>
      <c r="H182" s="21" t="n"/>
      <c r="I182" s="21" t="n"/>
      <c r="J182" s="23">
        <f>IF($A182="","",TEXT($A182,"yyyy-mm"))</f>
        <v/>
      </c>
    </row>
    <row r="183" ht="18" customHeight="1">
      <c r="A183" s="20" t="n"/>
      <c r="B183" s="21" t="n"/>
      <c r="C183" s="22" t="n"/>
      <c r="D183" s="21" t="n"/>
      <c r="E183" s="21" t="n"/>
      <c r="F183" s="21" t="n"/>
      <c r="G183" s="21" t="n"/>
      <c r="H183" s="21" t="n"/>
      <c r="I183" s="21" t="n"/>
      <c r="J183" s="23">
        <f>IF($A183="","",TEXT($A183,"yyyy-mm"))</f>
        <v/>
      </c>
    </row>
    <row r="184" ht="18" customHeight="1">
      <c r="A184" s="20" t="n"/>
      <c r="B184" s="21" t="n"/>
      <c r="C184" s="22" t="n"/>
      <c r="D184" s="21" t="n"/>
      <c r="E184" s="21" t="n"/>
      <c r="F184" s="21" t="n"/>
      <c r="G184" s="21" t="n"/>
      <c r="H184" s="21" t="n"/>
      <c r="I184" s="21" t="n"/>
      <c r="J184" s="23">
        <f>IF($A184="","",TEXT($A184,"yyyy-mm"))</f>
        <v/>
      </c>
    </row>
    <row r="185" ht="18" customHeight="1">
      <c r="A185" s="20" t="n"/>
      <c r="B185" s="21" t="n"/>
      <c r="C185" s="22" t="n"/>
      <c r="D185" s="21" t="n"/>
      <c r="E185" s="21" t="n"/>
      <c r="F185" s="21" t="n"/>
      <c r="G185" s="21" t="n"/>
      <c r="H185" s="21" t="n"/>
      <c r="I185" s="21" t="n"/>
      <c r="J185" s="23">
        <f>IF($A185="","",TEXT($A185,"yyyy-mm"))</f>
        <v/>
      </c>
    </row>
    <row r="186" ht="18" customHeight="1">
      <c r="A186" s="20" t="n"/>
      <c r="B186" s="21" t="n"/>
      <c r="C186" s="22" t="n"/>
      <c r="D186" s="21" t="n"/>
      <c r="E186" s="21" t="n"/>
      <c r="F186" s="21" t="n"/>
      <c r="G186" s="21" t="n"/>
      <c r="H186" s="21" t="n"/>
      <c r="I186" s="21" t="n"/>
      <c r="J186" s="23">
        <f>IF($A186="","",TEXT($A186,"yyyy-mm"))</f>
        <v/>
      </c>
    </row>
    <row r="187" ht="18" customHeight="1">
      <c r="A187" s="20" t="n"/>
      <c r="B187" s="21" t="n"/>
      <c r="C187" s="22" t="n"/>
      <c r="D187" s="21" t="n"/>
      <c r="E187" s="21" t="n"/>
      <c r="F187" s="21" t="n"/>
      <c r="G187" s="21" t="n"/>
      <c r="H187" s="21" t="n"/>
      <c r="I187" s="21" t="n"/>
      <c r="J187" s="23">
        <f>IF($A187="","",TEXT($A187,"yyyy-mm"))</f>
        <v/>
      </c>
    </row>
    <row r="188" ht="18" customHeight="1">
      <c r="A188" s="20" t="n"/>
      <c r="B188" s="21" t="n"/>
      <c r="C188" s="22" t="n"/>
      <c r="D188" s="21" t="n"/>
      <c r="E188" s="21" t="n"/>
      <c r="F188" s="21" t="n"/>
      <c r="G188" s="21" t="n"/>
      <c r="H188" s="21" t="n"/>
      <c r="I188" s="21" t="n"/>
      <c r="J188" s="23">
        <f>IF($A188="","",TEXT($A188,"yyyy-mm"))</f>
        <v/>
      </c>
    </row>
    <row r="189" ht="18" customHeight="1">
      <c r="A189" s="20" t="n"/>
      <c r="B189" s="21" t="n"/>
      <c r="C189" s="22" t="n"/>
      <c r="D189" s="21" t="n"/>
      <c r="E189" s="21" t="n"/>
      <c r="F189" s="21" t="n"/>
      <c r="G189" s="21" t="n"/>
      <c r="H189" s="21" t="n"/>
      <c r="I189" s="21" t="n"/>
      <c r="J189" s="23">
        <f>IF($A189="","",TEXT($A189,"yyyy-mm"))</f>
        <v/>
      </c>
    </row>
    <row r="190" ht="18" customHeight="1">
      <c r="A190" s="20" t="n"/>
      <c r="B190" s="21" t="n"/>
      <c r="C190" s="22" t="n"/>
      <c r="D190" s="21" t="n"/>
      <c r="E190" s="21" t="n"/>
      <c r="F190" s="21" t="n"/>
      <c r="G190" s="21" t="n"/>
      <c r="H190" s="21" t="n"/>
      <c r="I190" s="21" t="n"/>
      <c r="J190" s="23">
        <f>IF($A190="","",TEXT($A190,"yyyy-mm"))</f>
        <v/>
      </c>
    </row>
    <row r="191" ht="18" customHeight="1">
      <c r="A191" s="20" t="n"/>
      <c r="B191" s="21" t="n"/>
      <c r="C191" s="22" t="n"/>
      <c r="D191" s="21" t="n"/>
      <c r="E191" s="21" t="n"/>
      <c r="F191" s="21" t="n"/>
      <c r="G191" s="21" t="n"/>
      <c r="H191" s="21" t="n"/>
      <c r="I191" s="21" t="n"/>
      <c r="J191" s="23">
        <f>IF($A191="","",TEXT($A191,"yyyy-mm"))</f>
        <v/>
      </c>
    </row>
    <row r="192" ht="18" customHeight="1">
      <c r="A192" s="20" t="n"/>
      <c r="B192" s="21" t="n"/>
      <c r="C192" s="22" t="n"/>
      <c r="D192" s="21" t="n"/>
      <c r="E192" s="21" t="n"/>
      <c r="F192" s="21" t="n"/>
      <c r="G192" s="21" t="n"/>
      <c r="H192" s="21" t="n"/>
      <c r="I192" s="21" t="n"/>
      <c r="J192" s="23">
        <f>IF($A192="","",TEXT($A192,"yyyy-mm"))</f>
        <v/>
      </c>
    </row>
    <row r="193" ht="18" customHeight="1">
      <c r="A193" s="20" t="n"/>
      <c r="B193" s="21" t="n"/>
      <c r="C193" s="22" t="n"/>
      <c r="D193" s="21" t="n"/>
      <c r="E193" s="21" t="n"/>
      <c r="F193" s="21" t="n"/>
      <c r="G193" s="21" t="n"/>
      <c r="H193" s="21" t="n"/>
      <c r="I193" s="21" t="n"/>
      <c r="J193" s="23">
        <f>IF($A193="","",TEXT($A193,"yyyy-mm"))</f>
        <v/>
      </c>
    </row>
    <row r="194" ht="18" customHeight="1">
      <c r="A194" s="20" t="n"/>
      <c r="B194" s="21" t="n"/>
      <c r="C194" s="22" t="n"/>
      <c r="D194" s="21" t="n"/>
      <c r="E194" s="21" t="n"/>
      <c r="F194" s="21" t="n"/>
      <c r="G194" s="21" t="n"/>
      <c r="H194" s="21" t="n"/>
      <c r="I194" s="21" t="n"/>
      <c r="J194" s="23">
        <f>IF($A194="","",TEXT($A194,"yyyy-mm"))</f>
        <v/>
      </c>
    </row>
    <row r="195" ht="18" customHeight="1">
      <c r="A195" s="20" t="n"/>
      <c r="B195" s="21" t="n"/>
      <c r="C195" s="22" t="n"/>
      <c r="D195" s="21" t="n"/>
      <c r="E195" s="21" t="n"/>
      <c r="F195" s="21" t="n"/>
      <c r="G195" s="21" t="n"/>
      <c r="H195" s="21" t="n"/>
      <c r="I195" s="21" t="n"/>
      <c r="J195" s="23">
        <f>IF($A195="","",TEXT($A195,"yyyy-mm"))</f>
        <v/>
      </c>
    </row>
    <row r="196" ht="18" customHeight="1">
      <c r="A196" s="20" t="n"/>
      <c r="B196" s="21" t="n"/>
      <c r="C196" s="22" t="n"/>
      <c r="D196" s="21" t="n"/>
      <c r="E196" s="21" t="n"/>
      <c r="F196" s="21" t="n"/>
      <c r="G196" s="21" t="n"/>
      <c r="H196" s="21" t="n"/>
      <c r="I196" s="21" t="n"/>
      <c r="J196" s="23">
        <f>IF($A196="","",TEXT($A196,"yyyy-mm"))</f>
        <v/>
      </c>
    </row>
    <row r="197" ht="18" customHeight="1">
      <c r="A197" s="20" t="n"/>
      <c r="B197" s="21" t="n"/>
      <c r="C197" s="22" t="n"/>
      <c r="D197" s="21" t="n"/>
      <c r="E197" s="21" t="n"/>
      <c r="F197" s="21" t="n"/>
      <c r="G197" s="21" t="n"/>
      <c r="H197" s="21" t="n"/>
      <c r="I197" s="21" t="n"/>
      <c r="J197" s="23">
        <f>IF($A197="","",TEXT($A197,"yyyy-mm"))</f>
        <v/>
      </c>
    </row>
    <row r="198" ht="18" customHeight="1">
      <c r="A198" s="20" t="n"/>
      <c r="B198" s="21" t="n"/>
      <c r="C198" s="22" t="n"/>
      <c r="D198" s="21" t="n"/>
      <c r="E198" s="21" t="n"/>
      <c r="F198" s="21" t="n"/>
      <c r="G198" s="21" t="n"/>
      <c r="H198" s="21" t="n"/>
      <c r="I198" s="21" t="n"/>
      <c r="J198" s="23">
        <f>IF($A198="","",TEXT($A198,"yyyy-mm"))</f>
        <v/>
      </c>
    </row>
    <row r="199" ht="18" customHeight="1">
      <c r="A199" s="20" t="n"/>
      <c r="B199" s="21" t="n"/>
      <c r="C199" s="22" t="n"/>
      <c r="D199" s="21" t="n"/>
      <c r="E199" s="21" t="n"/>
      <c r="F199" s="21" t="n"/>
      <c r="G199" s="21" t="n"/>
      <c r="H199" s="21" t="n"/>
      <c r="I199" s="21" t="n"/>
      <c r="J199" s="23">
        <f>IF($A199="","",TEXT($A199,"yyyy-mm"))</f>
        <v/>
      </c>
    </row>
    <row r="200" ht="18" customHeight="1">
      <c r="A200" s="20" t="n"/>
      <c r="B200" s="21" t="n"/>
      <c r="C200" s="22" t="n"/>
      <c r="D200" s="21" t="n"/>
      <c r="E200" s="21" t="n"/>
      <c r="F200" s="21" t="n"/>
      <c r="G200" s="21" t="n"/>
      <c r="H200" s="21" t="n"/>
      <c r="I200" s="21" t="n"/>
      <c r="J200" s="23">
        <f>IF($A200="","",TEXT($A200,"yyyy-mm"))</f>
        <v/>
      </c>
    </row>
    <row r="201" ht="18" customHeight="1">
      <c r="A201" s="20" t="n"/>
      <c r="B201" s="21" t="n"/>
      <c r="C201" s="22" t="n"/>
      <c r="D201" s="21" t="n"/>
      <c r="E201" s="21" t="n"/>
      <c r="F201" s="21" t="n"/>
      <c r="G201" s="21" t="n"/>
      <c r="H201" s="21" t="n"/>
      <c r="I201" s="21" t="n"/>
      <c r="J201" s="23">
        <f>IF($A201="","",TEXT($A201,"yyyy-mm"))</f>
        <v/>
      </c>
    </row>
    <row r="202" ht="18" customHeight="1">
      <c r="A202" s="20" t="n"/>
      <c r="B202" s="21" t="n"/>
      <c r="C202" s="22" t="n"/>
      <c r="D202" s="21" t="n"/>
      <c r="E202" s="21" t="n"/>
      <c r="F202" s="21" t="n"/>
      <c r="G202" s="21" t="n"/>
      <c r="H202" s="21" t="n"/>
      <c r="I202" s="21" t="n"/>
      <c r="J202" s="23">
        <f>IF($A202="","",TEXT($A202,"yyyy-mm"))</f>
        <v/>
      </c>
    </row>
    <row r="203" ht="18" customHeight="1">
      <c r="A203" s="20" t="n"/>
      <c r="B203" s="21" t="n"/>
      <c r="C203" s="22" t="n"/>
      <c r="D203" s="21" t="n"/>
      <c r="E203" s="21" t="n"/>
      <c r="F203" s="21" t="n"/>
      <c r="G203" s="21" t="n"/>
      <c r="H203" s="21" t="n"/>
      <c r="I203" s="21" t="n"/>
      <c r="J203" s="23">
        <f>IF($A203="","",TEXT($A203,"yyyy-mm"))</f>
        <v/>
      </c>
    </row>
    <row r="204" ht="18" customHeight="1">
      <c r="A204" s="20" t="n"/>
      <c r="B204" s="21" t="n"/>
      <c r="C204" s="22" t="n"/>
      <c r="D204" s="21" t="n"/>
      <c r="E204" s="21" t="n"/>
      <c r="F204" s="21" t="n"/>
      <c r="G204" s="21" t="n"/>
      <c r="H204" s="21" t="n"/>
      <c r="I204" s="21" t="n"/>
      <c r="J204" s="23">
        <f>IF($A204="","",TEXT($A204,"yyyy-mm"))</f>
        <v/>
      </c>
    </row>
    <row r="205" ht="18" customHeight="1">
      <c r="A205" s="20" t="n"/>
      <c r="B205" s="21" t="n"/>
      <c r="C205" s="22" t="n"/>
      <c r="D205" s="21" t="n"/>
      <c r="E205" s="21" t="n"/>
      <c r="F205" s="21" t="n"/>
      <c r="G205" s="21" t="n"/>
      <c r="H205" s="21" t="n"/>
      <c r="I205" s="21" t="n"/>
      <c r="J205" s="23">
        <f>IF($A205="","",TEXT($A205,"yyyy-mm"))</f>
        <v/>
      </c>
    </row>
    <row r="206" ht="18" customHeight="1">
      <c r="A206" s="20" t="n"/>
      <c r="B206" s="21" t="n"/>
      <c r="C206" s="22" t="n"/>
      <c r="D206" s="21" t="n"/>
      <c r="E206" s="21" t="n"/>
      <c r="F206" s="21" t="n"/>
      <c r="G206" s="21" t="n"/>
      <c r="H206" s="21" t="n"/>
      <c r="I206" s="21" t="n"/>
      <c r="J206" s="23">
        <f>IF($A206="","",TEXT($A206,"yyyy-mm"))</f>
        <v/>
      </c>
    </row>
    <row r="207" ht="18" customHeight="1">
      <c r="A207" s="20" t="n"/>
      <c r="B207" s="21" t="n"/>
      <c r="C207" s="22" t="n"/>
      <c r="D207" s="21" t="n"/>
      <c r="E207" s="21" t="n"/>
      <c r="F207" s="21" t="n"/>
      <c r="G207" s="21" t="n"/>
      <c r="H207" s="21" t="n"/>
      <c r="I207" s="21" t="n"/>
      <c r="J207" s="23">
        <f>IF($A207="","",TEXT($A207,"yyyy-mm"))</f>
        <v/>
      </c>
    </row>
    <row r="208" ht="18" customHeight="1">
      <c r="A208" s="20" t="n"/>
      <c r="B208" s="21" t="n"/>
      <c r="C208" s="22" t="n"/>
      <c r="D208" s="21" t="n"/>
      <c r="E208" s="21" t="n"/>
      <c r="F208" s="21" t="n"/>
      <c r="G208" s="21" t="n"/>
      <c r="H208" s="21" t="n"/>
      <c r="I208" s="21" t="n"/>
      <c r="J208" s="23">
        <f>IF($A208="","",TEXT($A208,"yyyy-mm"))</f>
        <v/>
      </c>
    </row>
    <row r="209" ht="18" customHeight="1">
      <c r="A209" s="20" t="n"/>
      <c r="B209" s="21" t="n"/>
      <c r="C209" s="22" t="n"/>
      <c r="D209" s="21" t="n"/>
      <c r="E209" s="21" t="n"/>
      <c r="F209" s="21" t="n"/>
      <c r="G209" s="21" t="n"/>
      <c r="H209" s="21" t="n"/>
      <c r="I209" s="21" t="n"/>
      <c r="J209" s="23">
        <f>IF($A209="","",TEXT($A209,"yyyy-mm"))</f>
        <v/>
      </c>
    </row>
    <row r="210" ht="18" customHeight="1">
      <c r="A210" s="20" t="n"/>
      <c r="B210" s="21" t="n"/>
      <c r="C210" s="22" t="n"/>
      <c r="D210" s="21" t="n"/>
      <c r="E210" s="21" t="n"/>
      <c r="F210" s="21" t="n"/>
      <c r="G210" s="21" t="n"/>
      <c r="H210" s="21" t="n"/>
      <c r="I210" s="21" t="n"/>
      <c r="J210" s="23">
        <f>IF($A210="","",TEXT($A210,"yyyy-mm"))</f>
        <v/>
      </c>
    </row>
    <row r="211" ht="18" customHeight="1">
      <c r="A211" s="20" t="n"/>
      <c r="B211" s="21" t="n"/>
      <c r="C211" s="22" t="n"/>
      <c r="D211" s="21" t="n"/>
      <c r="E211" s="21" t="n"/>
      <c r="F211" s="21" t="n"/>
      <c r="G211" s="21" t="n"/>
      <c r="H211" s="21" t="n"/>
      <c r="I211" s="21" t="n"/>
      <c r="J211" s="23">
        <f>IF($A211="","",TEXT($A211,"yyyy-mm"))</f>
        <v/>
      </c>
    </row>
    <row r="212" ht="18" customHeight="1">
      <c r="A212" s="20" t="n"/>
      <c r="B212" s="21" t="n"/>
      <c r="C212" s="22" t="n"/>
      <c r="D212" s="21" t="n"/>
      <c r="E212" s="21" t="n"/>
      <c r="F212" s="21" t="n"/>
      <c r="G212" s="21" t="n"/>
      <c r="H212" s="21" t="n"/>
      <c r="I212" s="21" t="n"/>
      <c r="J212" s="23">
        <f>IF($A212="","",TEXT($A212,"yyyy-mm"))</f>
        <v/>
      </c>
    </row>
    <row r="213" ht="18" customHeight="1">
      <c r="A213" s="20" t="n"/>
      <c r="B213" s="21" t="n"/>
      <c r="C213" s="22" t="n"/>
      <c r="D213" s="21" t="n"/>
      <c r="E213" s="21" t="n"/>
      <c r="F213" s="21" t="n"/>
      <c r="G213" s="21" t="n"/>
      <c r="H213" s="21" t="n"/>
      <c r="I213" s="21" t="n"/>
      <c r="J213" s="23">
        <f>IF($A213="","",TEXT($A213,"yyyy-mm"))</f>
        <v/>
      </c>
    </row>
    <row r="214" ht="18" customHeight="1">
      <c r="A214" s="20" t="n"/>
      <c r="B214" s="21" t="n"/>
      <c r="C214" s="22" t="n"/>
      <c r="D214" s="21" t="n"/>
      <c r="E214" s="21" t="n"/>
      <c r="F214" s="21" t="n"/>
      <c r="G214" s="21" t="n"/>
      <c r="H214" s="21" t="n"/>
      <c r="I214" s="21" t="n"/>
      <c r="J214" s="23">
        <f>IF($A214="","",TEXT($A214,"yyyy-mm"))</f>
        <v/>
      </c>
    </row>
    <row r="215" ht="18" customHeight="1">
      <c r="A215" s="20" t="n"/>
      <c r="B215" s="21" t="n"/>
      <c r="C215" s="22" t="n"/>
      <c r="D215" s="21" t="n"/>
      <c r="E215" s="21" t="n"/>
      <c r="F215" s="21" t="n"/>
      <c r="G215" s="21" t="n"/>
      <c r="H215" s="21" t="n"/>
      <c r="I215" s="21" t="n"/>
      <c r="J215" s="23">
        <f>IF($A215="","",TEXT($A215,"yyyy-mm"))</f>
        <v/>
      </c>
    </row>
    <row r="216" ht="18" customHeight="1">
      <c r="A216" s="20" t="n"/>
      <c r="B216" s="21" t="n"/>
      <c r="C216" s="22" t="n"/>
      <c r="D216" s="21" t="n"/>
      <c r="E216" s="21" t="n"/>
      <c r="F216" s="21" t="n"/>
      <c r="G216" s="21" t="n"/>
      <c r="H216" s="21" t="n"/>
      <c r="I216" s="21" t="n"/>
      <c r="J216" s="23">
        <f>IF($A216="","",TEXT($A216,"yyyy-mm"))</f>
        <v/>
      </c>
    </row>
    <row r="217" ht="18" customHeight="1">
      <c r="A217" s="20" t="n"/>
      <c r="B217" s="21" t="n"/>
      <c r="C217" s="22" t="n"/>
      <c r="D217" s="21" t="n"/>
      <c r="E217" s="21" t="n"/>
      <c r="F217" s="21" t="n"/>
      <c r="G217" s="21" t="n"/>
      <c r="H217" s="21" t="n"/>
      <c r="I217" s="21" t="n"/>
      <c r="J217" s="23">
        <f>IF($A217="","",TEXT($A217,"yyyy-mm"))</f>
        <v/>
      </c>
    </row>
    <row r="218" ht="18" customHeight="1">
      <c r="A218" s="20" t="n"/>
      <c r="B218" s="21" t="n"/>
      <c r="C218" s="22" t="n"/>
      <c r="D218" s="21" t="n"/>
      <c r="E218" s="21" t="n"/>
      <c r="F218" s="21" t="n"/>
      <c r="G218" s="21" t="n"/>
      <c r="H218" s="21" t="n"/>
      <c r="I218" s="21" t="n"/>
      <c r="J218" s="23">
        <f>IF($A218="","",TEXT($A218,"yyyy-mm"))</f>
        <v/>
      </c>
    </row>
    <row r="219" ht="18" customHeight="1">
      <c r="A219" s="20" t="n"/>
      <c r="B219" s="21" t="n"/>
      <c r="C219" s="22" t="n"/>
      <c r="D219" s="21" t="n"/>
      <c r="E219" s="21" t="n"/>
      <c r="F219" s="21" t="n"/>
      <c r="G219" s="21" t="n"/>
      <c r="H219" s="21" t="n"/>
      <c r="I219" s="21" t="n"/>
      <c r="J219" s="23">
        <f>IF($A219="","",TEXT($A219,"yyyy-mm"))</f>
        <v/>
      </c>
    </row>
    <row r="220" ht="18" customHeight="1">
      <c r="A220" s="20" t="n"/>
      <c r="B220" s="21" t="n"/>
      <c r="C220" s="22" t="n"/>
      <c r="D220" s="21" t="n"/>
      <c r="E220" s="21" t="n"/>
      <c r="F220" s="21" t="n"/>
      <c r="G220" s="21" t="n"/>
      <c r="H220" s="21" t="n"/>
      <c r="I220" s="21" t="n"/>
      <c r="J220" s="23">
        <f>IF($A220="","",TEXT($A220,"yyyy-mm"))</f>
        <v/>
      </c>
    </row>
    <row r="221" ht="18" customHeight="1">
      <c r="A221" s="20" t="n"/>
      <c r="B221" s="21" t="n"/>
      <c r="C221" s="22" t="n"/>
      <c r="D221" s="21" t="n"/>
      <c r="E221" s="21" t="n"/>
      <c r="F221" s="21" t="n"/>
      <c r="G221" s="21" t="n"/>
      <c r="H221" s="21" t="n"/>
      <c r="I221" s="21" t="n"/>
      <c r="J221" s="23">
        <f>IF($A221="","",TEXT($A221,"yyyy-mm"))</f>
        <v/>
      </c>
    </row>
    <row r="222" ht="18" customHeight="1">
      <c r="A222" s="20" t="n"/>
      <c r="B222" s="21" t="n"/>
      <c r="C222" s="22" t="n"/>
      <c r="D222" s="21" t="n"/>
      <c r="E222" s="21" t="n"/>
      <c r="F222" s="21" t="n"/>
      <c r="G222" s="21" t="n"/>
      <c r="H222" s="21" t="n"/>
      <c r="I222" s="21" t="n"/>
      <c r="J222" s="23">
        <f>IF($A222="","",TEXT($A222,"yyyy-mm"))</f>
        <v/>
      </c>
    </row>
    <row r="223" ht="18" customHeight="1">
      <c r="A223" s="20" t="n"/>
      <c r="B223" s="21" t="n"/>
      <c r="C223" s="22" t="n"/>
      <c r="D223" s="21" t="n"/>
      <c r="E223" s="21" t="n"/>
      <c r="F223" s="21" t="n"/>
      <c r="G223" s="21" t="n"/>
      <c r="H223" s="21" t="n"/>
      <c r="I223" s="21" t="n"/>
      <c r="J223" s="23">
        <f>IF($A223="","",TEXT($A223,"yyyy-mm"))</f>
        <v/>
      </c>
    </row>
    <row r="224" ht="18" customHeight="1">
      <c r="A224" s="20" t="n"/>
      <c r="B224" s="21" t="n"/>
      <c r="C224" s="22" t="n"/>
      <c r="D224" s="21" t="n"/>
      <c r="E224" s="21" t="n"/>
      <c r="F224" s="21" t="n"/>
      <c r="G224" s="21" t="n"/>
      <c r="H224" s="21" t="n"/>
      <c r="I224" s="21" t="n"/>
      <c r="J224" s="23">
        <f>IF($A224="","",TEXT($A224,"yyyy-mm"))</f>
        <v/>
      </c>
    </row>
    <row r="225" ht="18" customHeight="1">
      <c r="A225" s="20" t="n"/>
      <c r="B225" s="21" t="n"/>
      <c r="C225" s="22" t="n"/>
      <c r="D225" s="21" t="n"/>
      <c r="E225" s="21" t="n"/>
      <c r="F225" s="21" t="n"/>
      <c r="G225" s="21" t="n"/>
      <c r="H225" s="21" t="n"/>
      <c r="I225" s="21" t="n"/>
      <c r="J225" s="23">
        <f>IF($A225="","",TEXT($A225,"yyyy-mm"))</f>
        <v/>
      </c>
    </row>
    <row r="226" ht="18" customHeight="1">
      <c r="A226" s="20" t="n"/>
      <c r="B226" s="21" t="n"/>
      <c r="C226" s="22" t="n"/>
      <c r="D226" s="21" t="n"/>
      <c r="E226" s="21" t="n"/>
      <c r="F226" s="21" t="n"/>
      <c r="G226" s="21" t="n"/>
      <c r="H226" s="21" t="n"/>
      <c r="I226" s="21" t="n"/>
      <c r="J226" s="23">
        <f>IF($A226="","",TEXT($A226,"yyyy-mm"))</f>
        <v/>
      </c>
    </row>
    <row r="227" ht="18" customHeight="1">
      <c r="A227" s="20" t="n"/>
      <c r="B227" s="21" t="n"/>
      <c r="C227" s="22" t="n"/>
      <c r="D227" s="21" t="n"/>
      <c r="E227" s="21" t="n"/>
      <c r="F227" s="21" t="n"/>
      <c r="G227" s="21" t="n"/>
      <c r="H227" s="21" t="n"/>
      <c r="I227" s="21" t="n"/>
      <c r="J227" s="23">
        <f>IF($A227="","",TEXT($A227,"yyyy-mm"))</f>
        <v/>
      </c>
    </row>
    <row r="228" ht="18" customHeight="1">
      <c r="A228" s="20" t="n"/>
      <c r="B228" s="21" t="n"/>
      <c r="C228" s="22" t="n"/>
      <c r="D228" s="21" t="n"/>
      <c r="E228" s="21" t="n"/>
      <c r="F228" s="21" t="n"/>
      <c r="G228" s="21" t="n"/>
      <c r="H228" s="21" t="n"/>
      <c r="I228" s="21" t="n"/>
      <c r="J228" s="23">
        <f>IF($A228="","",TEXT($A228,"yyyy-mm"))</f>
        <v/>
      </c>
    </row>
    <row r="229" ht="18" customHeight="1">
      <c r="A229" s="20" t="n"/>
      <c r="B229" s="21" t="n"/>
      <c r="C229" s="22" t="n"/>
      <c r="D229" s="21" t="n"/>
      <c r="E229" s="21" t="n"/>
      <c r="F229" s="21" t="n"/>
      <c r="G229" s="21" t="n"/>
      <c r="H229" s="21" t="n"/>
      <c r="I229" s="21" t="n"/>
      <c r="J229" s="23">
        <f>IF($A229="","",TEXT($A229,"yyyy-mm"))</f>
        <v/>
      </c>
    </row>
    <row r="230" ht="18" customHeight="1">
      <c r="A230" s="20" t="n"/>
      <c r="B230" s="21" t="n"/>
      <c r="C230" s="22" t="n"/>
      <c r="D230" s="21" t="n"/>
      <c r="E230" s="21" t="n"/>
      <c r="F230" s="21" t="n"/>
      <c r="G230" s="21" t="n"/>
      <c r="H230" s="21" t="n"/>
      <c r="I230" s="21" t="n"/>
      <c r="J230" s="23">
        <f>IF($A230="","",TEXT($A230,"yyyy-mm"))</f>
        <v/>
      </c>
    </row>
    <row r="231" ht="18" customHeight="1">
      <c r="A231" s="20" t="n"/>
      <c r="B231" s="21" t="n"/>
      <c r="C231" s="22" t="n"/>
      <c r="D231" s="21" t="n"/>
      <c r="E231" s="21" t="n"/>
      <c r="F231" s="21" t="n"/>
      <c r="G231" s="21" t="n"/>
      <c r="H231" s="21" t="n"/>
      <c r="I231" s="21" t="n"/>
      <c r="J231" s="23">
        <f>IF($A231="","",TEXT($A231,"yyyy-mm"))</f>
        <v/>
      </c>
    </row>
    <row r="232" ht="18" customHeight="1">
      <c r="A232" s="20" t="n"/>
      <c r="B232" s="21" t="n"/>
      <c r="C232" s="22" t="n"/>
      <c r="D232" s="21" t="n"/>
      <c r="E232" s="21" t="n"/>
      <c r="F232" s="21" t="n"/>
      <c r="G232" s="21" t="n"/>
      <c r="H232" s="21" t="n"/>
      <c r="I232" s="21" t="n"/>
      <c r="J232" s="23">
        <f>IF($A232="","",TEXT($A232,"yyyy-mm"))</f>
        <v/>
      </c>
    </row>
    <row r="233" ht="18" customHeight="1">
      <c r="A233" s="20" t="n"/>
      <c r="B233" s="21" t="n"/>
      <c r="C233" s="22" t="n"/>
      <c r="D233" s="21" t="n"/>
      <c r="E233" s="21" t="n"/>
      <c r="F233" s="21" t="n"/>
      <c r="G233" s="21" t="n"/>
      <c r="H233" s="21" t="n"/>
      <c r="I233" s="21" t="n"/>
      <c r="J233" s="23">
        <f>IF($A233="","",TEXT($A233,"yyyy-mm"))</f>
        <v/>
      </c>
    </row>
    <row r="234" ht="18" customHeight="1">
      <c r="A234" s="20" t="n"/>
      <c r="B234" s="21" t="n"/>
      <c r="C234" s="22" t="n"/>
      <c r="D234" s="21" t="n"/>
      <c r="E234" s="21" t="n"/>
      <c r="F234" s="21" t="n"/>
      <c r="G234" s="21" t="n"/>
      <c r="H234" s="21" t="n"/>
      <c r="I234" s="21" t="n"/>
      <c r="J234" s="23">
        <f>IF($A234="","",TEXT($A234,"yyyy-mm"))</f>
        <v/>
      </c>
    </row>
    <row r="235" ht="18" customHeight="1">
      <c r="A235" s="20" t="n"/>
      <c r="B235" s="21" t="n"/>
      <c r="C235" s="22" t="n"/>
      <c r="D235" s="21" t="n"/>
      <c r="E235" s="21" t="n"/>
      <c r="F235" s="21" t="n"/>
      <c r="G235" s="21" t="n"/>
      <c r="H235" s="21" t="n"/>
      <c r="I235" s="21" t="n"/>
      <c r="J235" s="23">
        <f>IF($A235="","",TEXT($A235,"yyyy-mm"))</f>
        <v/>
      </c>
    </row>
    <row r="236" ht="18" customHeight="1">
      <c r="A236" s="20" t="n"/>
      <c r="B236" s="21" t="n"/>
      <c r="C236" s="22" t="n"/>
      <c r="D236" s="21" t="n"/>
      <c r="E236" s="21" t="n"/>
      <c r="F236" s="21" t="n"/>
      <c r="G236" s="21" t="n"/>
      <c r="H236" s="21" t="n"/>
      <c r="I236" s="21" t="n"/>
      <c r="J236" s="23">
        <f>IF($A236="","",TEXT($A236,"yyyy-mm"))</f>
        <v/>
      </c>
    </row>
    <row r="237" ht="18" customHeight="1">
      <c r="A237" s="20" t="n"/>
      <c r="B237" s="21" t="n"/>
      <c r="C237" s="22" t="n"/>
      <c r="D237" s="21" t="n"/>
      <c r="E237" s="21" t="n"/>
      <c r="F237" s="21" t="n"/>
      <c r="G237" s="21" t="n"/>
      <c r="H237" s="21" t="n"/>
      <c r="I237" s="21" t="n"/>
      <c r="J237" s="23">
        <f>IF($A237="","",TEXT($A237,"yyyy-mm"))</f>
        <v/>
      </c>
    </row>
    <row r="238" ht="18" customHeight="1">
      <c r="A238" s="20" t="n"/>
      <c r="B238" s="21" t="n"/>
      <c r="C238" s="22" t="n"/>
      <c r="D238" s="21" t="n"/>
      <c r="E238" s="21" t="n"/>
      <c r="F238" s="21" t="n"/>
      <c r="G238" s="21" t="n"/>
      <c r="H238" s="21" t="n"/>
      <c r="I238" s="21" t="n"/>
      <c r="J238" s="23">
        <f>IF($A238="","",TEXT($A238,"yyyy-mm"))</f>
        <v/>
      </c>
    </row>
    <row r="239" ht="18" customHeight="1">
      <c r="A239" s="20" t="n"/>
      <c r="B239" s="21" t="n"/>
      <c r="C239" s="22" t="n"/>
      <c r="D239" s="21" t="n"/>
      <c r="E239" s="21" t="n"/>
      <c r="F239" s="21" t="n"/>
      <c r="G239" s="21" t="n"/>
      <c r="H239" s="21" t="n"/>
      <c r="I239" s="21" t="n"/>
      <c r="J239" s="23">
        <f>IF($A239="","",TEXT($A239,"yyyy-mm"))</f>
        <v/>
      </c>
    </row>
    <row r="240" ht="18" customHeight="1">
      <c r="A240" s="20" t="n"/>
      <c r="B240" s="21" t="n"/>
      <c r="C240" s="22" t="n"/>
      <c r="D240" s="21" t="n"/>
      <c r="E240" s="21" t="n"/>
      <c r="F240" s="21" t="n"/>
      <c r="G240" s="21" t="n"/>
      <c r="H240" s="21" t="n"/>
      <c r="I240" s="21" t="n"/>
      <c r="J240" s="23">
        <f>IF($A240="","",TEXT($A240,"yyyy-mm"))</f>
        <v/>
      </c>
    </row>
    <row r="241" ht="18" customHeight="1">
      <c r="A241" s="20" t="n"/>
      <c r="B241" s="21" t="n"/>
      <c r="C241" s="22" t="n"/>
      <c r="D241" s="21" t="n"/>
      <c r="E241" s="21" t="n"/>
      <c r="F241" s="21" t="n"/>
      <c r="G241" s="21" t="n"/>
      <c r="H241" s="21" t="n"/>
      <c r="I241" s="21" t="n"/>
      <c r="J241" s="23">
        <f>IF($A241="","",TEXT($A241,"yyyy-mm"))</f>
        <v/>
      </c>
    </row>
    <row r="242" ht="18" customHeight="1">
      <c r="A242" s="20" t="n"/>
      <c r="B242" s="21" t="n"/>
      <c r="C242" s="22" t="n"/>
      <c r="D242" s="21" t="n"/>
      <c r="E242" s="21" t="n"/>
      <c r="F242" s="21" t="n"/>
      <c r="G242" s="21" t="n"/>
      <c r="H242" s="21" t="n"/>
      <c r="I242" s="21" t="n"/>
      <c r="J242" s="23">
        <f>IF($A242="","",TEXT($A242,"yyyy-mm"))</f>
        <v/>
      </c>
    </row>
    <row r="243" ht="18" customHeight="1">
      <c r="A243" s="20" t="n"/>
      <c r="B243" s="21" t="n"/>
      <c r="C243" s="22" t="n"/>
      <c r="D243" s="21" t="n"/>
      <c r="E243" s="21" t="n"/>
      <c r="F243" s="21" t="n"/>
      <c r="G243" s="21" t="n"/>
      <c r="H243" s="21" t="n"/>
      <c r="I243" s="21" t="n"/>
      <c r="J243" s="23">
        <f>IF($A243="","",TEXT($A243,"yyyy-mm"))</f>
        <v/>
      </c>
    </row>
    <row r="244" ht="18" customHeight="1">
      <c r="A244" s="20" t="n"/>
      <c r="B244" s="21" t="n"/>
      <c r="C244" s="22" t="n"/>
      <c r="D244" s="21" t="n"/>
      <c r="E244" s="21" t="n"/>
      <c r="F244" s="21" t="n"/>
      <c r="G244" s="21" t="n"/>
      <c r="H244" s="21" t="n"/>
      <c r="I244" s="21" t="n"/>
      <c r="J244" s="23">
        <f>IF($A244="","",TEXT($A244,"yyyy-mm"))</f>
        <v/>
      </c>
    </row>
    <row r="245" ht="18" customHeight="1">
      <c r="A245" s="20" t="n"/>
      <c r="B245" s="21" t="n"/>
      <c r="C245" s="22" t="n"/>
      <c r="D245" s="21" t="n"/>
      <c r="E245" s="21" t="n"/>
      <c r="F245" s="21" t="n"/>
      <c r="G245" s="21" t="n"/>
      <c r="H245" s="21" t="n"/>
      <c r="I245" s="21" t="n"/>
      <c r="J245" s="23">
        <f>IF($A245="","",TEXT($A245,"yyyy-mm"))</f>
        <v/>
      </c>
    </row>
    <row r="246" ht="18" customHeight="1">
      <c r="A246" s="20" t="n"/>
      <c r="B246" s="21" t="n"/>
      <c r="C246" s="22" t="n"/>
      <c r="D246" s="21" t="n"/>
      <c r="E246" s="21" t="n"/>
      <c r="F246" s="21" t="n"/>
      <c r="G246" s="21" t="n"/>
      <c r="H246" s="21" t="n"/>
      <c r="I246" s="21" t="n"/>
      <c r="J246" s="23">
        <f>IF($A246="","",TEXT($A246,"yyyy-mm"))</f>
        <v/>
      </c>
    </row>
    <row r="247" ht="18" customHeight="1">
      <c r="A247" s="20" t="n"/>
      <c r="B247" s="21" t="n"/>
      <c r="C247" s="22" t="n"/>
      <c r="D247" s="21" t="n"/>
      <c r="E247" s="21" t="n"/>
      <c r="F247" s="21" t="n"/>
      <c r="G247" s="21" t="n"/>
      <c r="H247" s="21" t="n"/>
      <c r="I247" s="21" t="n"/>
      <c r="J247" s="23">
        <f>IF($A247="","",TEXT($A247,"yyyy-mm"))</f>
        <v/>
      </c>
    </row>
    <row r="248" ht="18" customHeight="1">
      <c r="A248" s="20" t="n"/>
      <c r="B248" s="21" t="n"/>
      <c r="C248" s="22" t="n"/>
      <c r="D248" s="21" t="n"/>
      <c r="E248" s="21" t="n"/>
      <c r="F248" s="21" t="n"/>
      <c r="G248" s="21" t="n"/>
      <c r="H248" s="21" t="n"/>
      <c r="I248" s="21" t="n"/>
      <c r="J248" s="23">
        <f>IF($A248="","",TEXT($A248,"yyyy-mm"))</f>
        <v/>
      </c>
    </row>
    <row r="249" ht="18" customHeight="1">
      <c r="A249" s="20" t="n"/>
      <c r="B249" s="21" t="n"/>
      <c r="C249" s="22" t="n"/>
      <c r="D249" s="21" t="n"/>
      <c r="E249" s="21" t="n"/>
      <c r="F249" s="21" t="n"/>
      <c r="G249" s="21" t="n"/>
      <c r="H249" s="21" t="n"/>
      <c r="I249" s="21" t="n"/>
      <c r="J249" s="23">
        <f>IF($A249="","",TEXT($A249,"yyyy-mm"))</f>
        <v/>
      </c>
    </row>
    <row r="250" ht="18" customHeight="1">
      <c r="A250" s="20" t="n"/>
      <c r="B250" s="21" t="n"/>
      <c r="C250" s="22" t="n"/>
      <c r="D250" s="21" t="n"/>
      <c r="E250" s="21" t="n"/>
      <c r="F250" s="21" t="n"/>
      <c r="G250" s="21" t="n"/>
      <c r="H250" s="21" t="n"/>
      <c r="I250" s="21" t="n"/>
      <c r="J250" s="23">
        <f>IF($A250="","",TEXT($A250,"yyyy-mm"))</f>
        <v/>
      </c>
    </row>
    <row r="251" ht="18" customHeight="1">
      <c r="A251" s="20" t="n"/>
      <c r="B251" s="21" t="n"/>
      <c r="C251" s="22" t="n"/>
      <c r="D251" s="21" t="n"/>
      <c r="E251" s="21" t="n"/>
      <c r="F251" s="21" t="n"/>
      <c r="G251" s="21" t="n"/>
      <c r="H251" s="21" t="n"/>
      <c r="I251" s="21" t="n"/>
      <c r="J251" s="23">
        <f>IF($A251="","",TEXT($A251,"yyyy-mm"))</f>
        <v/>
      </c>
    </row>
    <row r="252" ht="18" customHeight="1">
      <c r="A252" s="20" t="n"/>
      <c r="B252" s="21" t="n"/>
      <c r="C252" s="22" t="n"/>
      <c r="D252" s="21" t="n"/>
      <c r="E252" s="21" t="n"/>
      <c r="F252" s="21" t="n"/>
      <c r="G252" s="21" t="n"/>
      <c r="H252" s="21" t="n"/>
      <c r="I252" s="21" t="n"/>
      <c r="J252" s="23">
        <f>IF($A252="","",TEXT($A252,"yyyy-mm"))</f>
        <v/>
      </c>
    </row>
    <row r="253" ht="18" customHeight="1">
      <c r="A253" s="20" t="n"/>
      <c r="B253" s="21" t="n"/>
      <c r="C253" s="22" t="n"/>
      <c r="D253" s="21" t="n"/>
      <c r="E253" s="21" t="n"/>
      <c r="F253" s="21" t="n"/>
      <c r="G253" s="21" t="n"/>
      <c r="H253" s="21" t="n"/>
      <c r="I253" s="21" t="n"/>
      <c r="J253" s="23">
        <f>IF($A253="","",TEXT($A253,"yyyy-mm"))</f>
        <v/>
      </c>
    </row>
    <row r="254" ht="18" customHeight="1">
      <c r="A254" s="20" t="n"/>
      <c r="B254" s="21" t="n"/>
      <c r="C254" s="22" t="n"/>
      <c r="D254" s="21" t="n"/>
      <c r="E254" s="21" t="n"/>
      <c r="F254" s="21" t="n"/>
      <c r="G254" s="21" t="n"/>
      <c r="H254" s="21" t="n"/>
      <c r="I254" s="21" t="n"/>
      <c r="J254" s="23">
        <f>IF($A254="","",TEXT($A254,"yyyy-mm"))</f>
        <v/>
      </c>
    </row>
    <row r="255" ht="18" customHeight="1">
      <c r="A255" s="20" t="n"/>
      <c r="B255" s="21" t="n"/>
      <c r="C255" s="22" t="n"/>
      <c r="D255" s="21" t="n"/>
      <c r="E255" s="21" t="n"/>
      <c r="F255" s="21" t="n"/>
      <c r="G255" s="21" t="n"/>
      <c r="H255" s="21" t="n"/>
      <c r="I255" s="21" t="n"/>
      <c r="J255" s="23">
        <f>IF($A255="","",TEXT($A255,"yyyy-mm"))</f>
        <v/>
      </c>
    </row>
    <row r="256" ht="18" customHeight="1">
      <c r="A256" s="20" t="n"/>
      <c r="B256" s="21" t="n"/>
      <c r="C256" s="22" t="n"/>
      <c r="D256" s="21" t="n"/>
      <c r="E256" s="21" t="n"/>
      <c r="F256" s="21" t="n"/>
      <c r="G256" s="21" t="n"/>
      <c r="H256" s="21" t="n"/>
      <c r="I256" s="21" t="n"/>
      <c r="J256" s="23">
        <f>IF($A256="","",TEXT($A256,"yyyy-mm"))</f>
        <v/>
      </c>
    </row>
    <row r="257" ht="18" customHeight="1">
      <c r="A257" s="20" t="n"/>
      <c r="B257" s="21" t="n"/>
      <c r="C257" s="22" t="n"/>
      <c r="D257" s="21" t="n"/>
      <c r="E257" s="21" t="n"/>
      <c r="F257" s="21" t="n"/>
      <c r="G257" s="21" t="n"/>
      <c r="H257" s="21" t="n"/>
      <c r="I257" s="21" t="n"/>
      <c r="J257" s="23">
        <f>IF($A257="","",TEXT($A257,"yyyy-mm"))</f>
        <v/>
      </c>
    </row>
    <row r="258" ht="18" customHeight="1">
      <c r="A258" s="20" t="n"/>
      <c r="B258" s="21" t="n"/>
      <c r="C258" s="22" t="n"/>
      <c r="D258" s="21" t="n"/>
      <c r="E258" s="21" t="n"/>
      <c r="F258" s="21" t="n"/>
      <c r="G258" s="21" t="n"/>
      <c r="H258" s="21" t="n"/>
      <c r="I258" s="21" t="n"/>
      <c r="J258" s="23">
        <f>IF($A258="","",TEXT($A258,"yyyy-mm"))</f>
        <v/>
      </c>
    </row>
    <row r="259" ht="18" customHeight="1">
      <c r="A259" s="20" t="n"/>
      <c r="B259" s="21" t="n"/>
      <c r="C259" s="22" t="n"/>
      <c r="D259" s="21" t="n"/>
      <c r="E259" s="21" t="n"/>
      <c r="F259" s="21" t="n"/>
      <c r="G259" s="21" t="n"/>
      <c r="H259" s="21" t="n"/>
      <c r="I259" s="21" t="n"/>
      <c r="J259" s="23">
        <f>IF($A259="","",TEXT($A259,"yyyy-mm"))</f>
        <v/>
      </c>
    </row>
    <row r="260" ht="18" customHeight="1">
      <c r="A260" s="20" t="n"/>
      <c r="B260" s="21" t="n"/>
      <c r="C260" s="22" t="n"/>
      <c r="D260" s="21" t="n"/>
      <c r="E260" s="21" t="n"/>
      <c r="F260" s="21" t="n"/>
      <c r="G260" s="21" t="n"/>
      <c r="H260" s="21" t="n"/>
      <c r="I260" s="21" t="n"/>
      <c r="J260" s="23">
        <f>IF($A260="","",TEXT($A260,"yyyy-mm"))</f>
        <v/>
      </c>
    </row>
    <row r="261" ht="18" customHeight="1">
      <c r="A261" s="20" t="n"/>
      <c r="B261" s="21" t="n"/>
      <c r="C261" s="22" t="n"/>
      <c r="D261" s="21" t="n"/>
      <c r="E261" s="21" t="n"/>
      <c r="F261" s="21" t="n"/>
      <c r="G261" s="21" t="n"/>
      <c r="H261" s="21" t="n"/>
      <c r="I261" s="21" t="n"/>
      <c r="J261" s="23">
        <f>IF($A261="","",TEXT($A261,"yyyy-mm"))</f>
        <v/>
      </c>
    </row>
    <row r="262" ht="18" customHeight="1">
      <c r="A262" s="20" t="n"/>
      <c r="B262" s="21" t="n"/>
      <c r="C262" s="22" t="n"/>
      <c r="D262" s="21" t="n"/>
      <c r="E262" s="21" t="n"/>
      <c r="F262" s="21" t="n"/>
      <c r="G262" s="21" t="n"/>
      <c r="H262" s="21" t="n"/>
      <c r="I262" s="21" t="n"/>
      <c r="J262" s="23">
        <f>IF($A262="","",TEXT($A262,"yyyy-mm"))</f>
        <v/>
      </c>
    </row>
    <row r="263" ht="18" customHeight="1">
      <c r="A263" s="20" t="n"/>
      <c r="B263" s="21" t="n"/>
      <c r="C263" s="22" t="n"/>
      <c r="D263" s="21" t="n"/>
      <c r="E263" s="21" t="n"/>
      <c r="F263" s="21" t="n"/>
      <c r="G263" s="21" t="n"/>
      <c r="H263" s="21" t="n"/>
      <c r="I263" s="21" t="n"/>
      <c r="J263" s="23">
        <f>IF($A263="","",TEXT($A263,"yyyy-mm"))</f>
        <v/>
      </c>
    </row>
    <row r="264" ht="18" customHeight="1">
      <c r="A264" s="20" t="n"/>
      <c r="B264" s="21" t="n"/>
      <c r="C264" s="22" t="n"/>
      <c r="D264" s="21" t="n"/>
      <c r="E264" s="21" t="n"/>
      <c r="F264" s="21" t="n"/>
      <c r="G264" s="21" t="n"/>
      <c r="H264" s="21" t="n"/>
      <c r="I264" s="21" t="n"/>
      <c r="J264" s="23">
        <f>IF($A264="","",TEXT($A264,"yyyy-mm"))</f>
        <v/>
      </c>
    </row>
    <row r="265" ht="18" customHeight="1">
      <c r="A265" s="20" t="n"/>
      <c r="B265" s="21" t="n"/>
      <c r="C265" s="22" t="n"/>
      <c r="D265" s="21" t="n"/>
      <c r="E265" s="21" t="n"/>
      <c r="F265" s="21" t="n"/>
      <c r="G265" s="21" t="n"/>
      <c r="H265" s="21" t="n"/>
      <c r="I265" s="21" t="n"/>
      <c r="J265" s="23">
        <f>IF($A265="","",TEXT($A265,"yyyy-mm"))</f>
        <v/>
      </c>
    </row>
    <row r="266" ht="18" customHeight="1">
      <c r="A266" s="20" t="n"/>
      <c r="B266" s="21" t="n"/>
      <c r="C266" s="22" t="n"/>
      <c r="D266" s="21" t="n"/>
      <c r="E266" s="21" t="n"/>
      <c r="F266" s="21" t="n"/>
      <c r="G266" s="21" t="n"/>
      <c r="H266" s="21" t="n"/>
      <c r="I266" s="21" t="n"/>
      <c r="J266" s="23">
        <f>IF($A266="","",TEXT($A266,"yyyy-mm"))</f>
        <v/>
      </c>
    </row>
    <row r="267" ht="18" customHeight="1">
      <c r="A267" s="20" t="n"/>
      <c r="B267" s="21" t="n"/>
      <c r="C267" s="22" t="n"/>
      <c r="D267" s="21" t="n"/>
      <c r="E267" s="21" t="n"/>
      <c r="F267" s="21" t="n"/>
      <c r="G267" s="21" t="n"/>
      <c r="H267" s="21" t="n"/>
      <c r="I267" s="21" t="n"/>
      <c r="J267" s="23">
        <f>IF($A267="","",TEXT($A267,"yyyy-mm"))</f>
        <v/>
      </c>
    </row>
    <row r="268" ht="18" customHeight="1">
      <c r="A268" s="20" t="n"/>
      <c r="B268" s="21" t="n"/>
      <c r="C268" s="22" t="n"/>
      <c r="D268" s="21" t="n"/>
      <c r="E268" s="21" t="n"/>
      <c r="F268" s="21" t="n"/>
      <c r="G268" s="21" t="n"/>
      <c r="H268" s="21" t="n"/>
      <c r="I268" s="21" t="n"/>
      <c r="J268" s="23">
        <f>IF($A268="","",TEXT($A268,"yyyy-mm"))</f>
        <v/>
      </c>
    </row>
    <row r="269" ht="18" customHeight="1">
      <c r="A269" s="20" t="n"/>
      <c r="B269" s="21" t="n"/>
      <c r="C269" s="22" t="n"/>
      <c r="D269" s="21" t="n"/>
      <c r="E269" s="21" t="n"/>
      <c r="F269" s="21" t="n"/>
      <c r="G269" s="21" t="n"/>
      <c r="H269" s="21" t="n"/>
      <c r="I269" s="21" t="n"/>
      <c r="J269" s="23">
        <f>IF($A269="","",TEXT($A269,"yyyy-mm"))</f>
        <v/>
      </c>
    </row>
    <row r="270" ht="18" customHeight="1">
      <c r="A270" s="20" t="n"/>
      <c r="B270" s="21" t="n"/>
      <c r="C270" s="22" t="n"/>
      <c r="D270" s="21" t="n"/>
      <c r="E270" s="21" t="n"/>
      <c r="F270" s="21" t="n"/>
      <c r="G270" s="21" t="n"/>
      <c r="H270" s="21" t="n"/>
      <c r="I270" s="21" t="n"/>
      <c r="J270" s="23">
        <f>IF($A270="","",TEXT($A270,"yyyy-mm"))</f>
        <v/>
      </c>
    </row>
    <row r="271" ht="18" customHeight="1">
      <c r="A271" s="20" t="n"/>
      <c r="B271" s="21" t="n"/>
      <c r="C271" s="22" t="n"/>
      <c r="D271" s="21" t="n"/>
      <c r="E271" s="21" t="n"/>
      <c r="F271" s="21" t="n"/>
      <c r="G271" s="21" t="n"/>
      <c r="H271" s="21" t="n"/>
      <c r="I271" s="21" t="n"/>
      <c r="J271" s="23">
        <f>IF($A271="","",TEXT($A271,"yyyy-mm"))</f>
        <v/>
      </c>
    </row>
    <row r="272" ht="18" customHeight="1">
      <c r="A272" s="20" t="n"/>
      <c r="B272" s="21" t="n"/>
      <c r="C272" s="22" t="n"/>
      <c r="D272" s="21" t="n"/>
      <c r="E272" s="21" t="n"/>
      <c r="F272" s="21" t="n"/>
      <c r="G272" s="21" t="n"/>
      <c r="H272" s="21" t="n"/>
      <c r="I272" s="21" t="n"/>
      <c r="J272" s="23">
        <f>IF($A272="","",TEXT($A272,"yyyy-mm"))</f>
        <v/>
      </c>
    </row>
    <row r="273" ht="18" customHeight="1">
      <c r="A273" s="20" t="n"/>
      <c r="B273" s="21" t="n"/>
      <c r="C273" s="22" t="n"/>
      <c r="D273" s="21" t="n"/>
      <c r="E273" s="21" t="n"/>
      <c r="F273" s="21" t="n"/>
      <c r="G273" s="21" t="n"/>
      <c r="H273" s="21" t="n"/>
      <c r="I273" s="21" t="n"/>
      <c r="J273" s="23">
        <f>IF($A273="","",TEXT($A273,"yyyy-mm"))</f>
        <v/>
      </c>
    </row>
    <row r="274" ht="18" customHeight="1">
      <c r="A274" s="20" t="n"/>
      <c r="B274" s="21" t="n"/>
      <c r="C274" s="22" t="n"/>
      <c r="D274" s="21" t="n"/>
      <c r="E274" s="21" t="n"/>
      <c r="F274" s="21" t="n"/>
      <c r="G274" s="21" t="n"/>
      <c r="H274" s="21" t="n"/>
      <c r="I274" s="21" t="n"/>
      <c r="J274" s="23">
        <f>IF($A274="","",TEXT($A274,"yyyy-mm"))</f>
        <v/>
      </c>
    </row>
    <row r="275" ht="18" customHeight="1">
      <c r="A275" s="20" t="n"/>
      <c r="B275" s="21" t="n"/>
      <c r="C275" s="22" t="n"/>
      <c r="D275" s="21" t="n"/>
      <c r="E275" s="21" t="n"/>
      <c r="F275" s="21" t="n"/>
      <c r="G275" s="21" t="n"/>
      <c r="H275" s="21" t="n"/>
      <c r="I275" s="21" t="n"/>
      <c r="J275" s="23">
        <f>IF($A275="","",TEXT($A275,"yyyy-mm"))</f>
        <v/>
      </c>
    </row>
    <row r="276" ht="18" customHeight="1">
      <c r="A276" s="20" t="n"/>
      <c r="B276" s="21" t="n"/>
      <c r="C276" s="22" t="n"/>
      <c r="D276" s="21" t="n"/>
      <c r="E276" s="21" t="n"/>
      <c r="F276" s="21" t="n"/>
      <c r="G276" s="21" t="n"/>
      <c r="H276" s="21" t="n"/>
      <c r="I276" s="21" t="n"/>
      <c r="J276" s="23">
        <f>IF($A276="","",TEXT($A276,"yyyy-mm"))</f>
        <v/>
      </c>
    </row>
    <row r="277" ht="18" customHeight="1">
      <c r="A277" s="20" t="n"/>
      <c r="B277" s="21" t="n"/>
      <c r="C277" s="22" t="n"/>
      <c r="D277" s="21" t="n"/>
      <c r="E277" s="21" t="n"/>
      <c r="F277" s="21" t="n"/>
      <c r="G277" s="21" t="n"/>
      <c r="H277" s="21" t="n"/>
      <c r="I277" s="21" t="n"/>
      <c r="J277" s="23">
        <f>IF($A277="","",TEXT($A277,"yyyy-mm"))</f>
        <v/>
      </c>
    </row>
    <row r="278" ht="18" customHeight="1">
      <c r="A278" s="20" t="n"/>
      <c r="B278" s="21" t="n"/>
      <c r="C278" s="22" t="n"/>
      <c r="D278" s="21" t="n"/>
      <c r="E278" s="21" t="n"/>
      <c r="F278" s="21" t="n"/>
      <c r="G278" s="21" t="n"/>
      <c r="H278" s="21" t="n"/>
      <c r="I278" s="21" t="n"/>
      <c r="J278" s="23">
        <f>IF($A278="","",TEXT($A278,"yyyy-mm"))</f>
        <v/>
      </c>
    </row>
    <row r="279" ht="18" customHeight="1">
      <c r="A279" s="20" t="n"/>
      <c r="B279" s="21" t="n"/>
      <c r="C279" s="22" t="n"/>
      <c r="D279" s="21" t="n"/>
      <c r="E279" s="21" t="n"/>
      <c r="F279" s="21" t="n"/>
      <c r="G279" s="21" t="n"/>
      <c r="H279" s="21" t="n"/>
      <c r="I279" s="21" t="n"/>
      <c r="J279" s="23">
        <f>IF($A279="","",TEXT($A279,"yyyy-mm"))</f>
        <v/>
      </c>
    </row>
    <row r="280" ht="18" customHeight="1">
      <c r="A280" s="20" t="n"/>
      <c r="B280" s="21" t="n"/>
      <c r="C280" s="22" t="n"/>
      <c r="D280" s="21" t="n"/>
      <c r="E280" s="21" t="n"/>
      <c r="F280" s="21" t="n"/>
      <c r="G280" s="21" t="n"/>
      <c r="H280" s="21" t="n"/>
      <c r="I280" s="21" t="n"/>
      <c r="J280" s="23">
        <f>IF($A280="","",TEXT($A280,"yyyy-mm"))</f>
        <v/>
      </c>
    </row>
    <row r="281" ht="18" customHeight="1">
      <c r="A281" s="20" t="n"/>
      <c r="B281" s="21" t="n"/>
      <c r="C281" s="22" t="n"/>
      <c r="D281" s="21" t="n"/>
      <c r="E281" s="21" t="n"/>
      <c r="F281" s="21" t="n"/>
      <c r="G281" s="21" t="n"/>
      <c r="H281" s="21" t="n"/>
      <c r="I281" s="21" t="n"/>
      <c r="J281" s="23">
        <f>IF($A281="","",TEXT($A281,"yyyy-mm"))</f>
        <v/>
      </c>
    </row>
    <row r="282" ht="18" customHeight="1">
      <c r="A282" s="20" t="n"/>
      <c r="B282" s="21" t="n"/>
      <c r="C282" s="22" t="n"/>
      <c r="D282" s="21" t="n"/>
      <c r="E282" s="21" t="n"/>
      <c r="F282" s="21" t="n"/>
      <c r="G282" s="21" t="n"/>
      <c r="H282" s="21" t="n"/>
      <c r="I282" s="21" t="n"/>
      <c r="J282" s="23">
        <f>IF($A282="","",TEXT($A282,"yyyy-mm"))</f>
        <v/>
      </c>
    </row>
    <row r="283" ht="18" customHeight="1">
      <c r="A283" s="20" t="n"/>
      <c r="B283" s="21" t="n"/>
      <c r="C283" s="22" t="n"/>
      <c r="D283" s="21" t="n"/>
      <c r="E283" s="21" t="n"/>
      <c r="F283" s="21" t="n"/>
      <c r="G283" s="21" t="n"/>
      <c r="H283" s="21" t="n"/>
      <c r="I283" s="21" t="n"/>
      <c r="J283" s="23">
        <f>IF($A283="","",TEXT($A283,"yyyy-mm"))</f>
        <v/>
      </c>
    </row>
    <row r="284" ht="18" customHeight="1">
      <c r="A284" s="20" t="n"/>
      <c r="B284" s="21" t="n"/>
      <c r="C284" s="22" t="n"/>
      <c r="D284" s="21" t="n"/>
      <c r="E284" s="21" t="n"/>
      <c r="F284" s="21" t="n"/>
      <c r="G284" s="21" t="n"/>
      <c r="H284" s="21" t="n"/>
      <c r="I284" s="21" t="n"/>
      <c r="J284" s="23">
        <f>IF($A284="","",TEXT($A284,"yyyy-mm"))</f>
        <v/>
      </c>
    </row>
    <row r="285" ht="18" customHeight="1">
      <c r="A285" s="20" t="n"/>
      <c r="B285" s="21" t="n"/>
      <c r="C285" s="22" t="n"/>
      <c r="D285" s="21" t="n"/>
      <c r="E285" s="21" t="n"/>
      <c r="F285" s="21" t="n"/>
      <c r="G285" s="21" t="n"/>
      <c r="H285" s="21" t="n"/>
      <c r="I285" s="21" t="n"/>
      <c r="J285" s="23">
        <f>IF($A285="","",TEXT($A285,"yyyy-mm"))</f>
        <v/>
      </c>
    </row>
    <row r="286" ht="18" customHeight="1">
      <c r="A286" s="20" t="n"/>
      <c r="B286" s="21" t="n"/>
      <c r="C286" s="22" t="n"/>
      <c r="D286" s="21" t="n"/>
      <c r="E286" s="21" t="n"/>
      <c r="F286" s="21" t="n"/>
      <c r="G286" s="21" t="n"/>
      <c r="H286" s="21" t="n"/>
      <c r="I286" s="21" t="n"/>
      <c r="J286" s="23">
        <f>IF($A286="","",TEXT($A286,"yyyy-mm"))</f>
        <v/>
      </c>
    </row>
    <row r="287" ht="18" customHeight="1">
      <c r="A287" s="20" t="n"/>
      <c r="B287" s="21" t="n"/>
      <c r="C287" s="22" t="n"/>
      <c r="D287" s="21" t="n"/>
      <c r="E287" s="21" t="n"/>
      <c r="F287" s="21" t="n"/>
      <c r="G287" s="21" t="n"/>
      <c r="H287" s="21" t="n"/>
      <c r="I287" s="21" t="n"/>
      <c r="J287" s="23">
        <f>IF($A287="","",TEXT($A287,"yyyy-mm"))</f>
        <v/>
      </c>
    </row>
    <row r="288" ht="18" customHeight="1">
      <c r="A288" s="20" t="n"/>
      <c r="B288" s="21" t="n"/>
      <c r="C288" s="22" t="n"/>
      <c r="D288" s="21" t="n"/>
      <c r="E288" s="21" t="n"/>
      <c r="F288" s="21" t="n"/>
      <c r="G288" s="21" t="n"/>
      <c r="H288" s="21" t="n"/>
      <c r="I288" s="21" t="n"/>
      <c r="J288" s="23">
        <f>IF($A288="","",TEXT($A288,"yyyy-mm"))</f>
        <v/>
      </c>
    </row>
    <row r="289" ht="18" customHeight="1">
      <c r="A289" s="20" t="n"/>
      <c r="B289" s="21" t="n"/>
      <c r="C289" s="22" t="n"/>
      <c r="D289" s="21" t="n"/>
      <c r="E289" s="21" t="n"/>
      <c r="F289" s="21" t="n"/>
      <c r="G289" s="21" t="n"/>
      <c r="H289" s="21" t="n"/>
      <c r="I289" s="21" t="n"/>
      <c r="J289" s="23">
        <f>IF($A289="","",TEXT($A289,"yyyy-mm"))</f>
        <v/>
      </c>
    </row>
    <row r="290" ht="18" customHeight="1">
      <c r="A290" s="20" t="n"/>
      <c r="B290" s="21" t="n"/>
      <c r="C290" s="22" t="n"/>
      <c r="D290" s="21" t="n"/>
      <c r="E290" s="21" t="n"/>
      <c r="F290" s="21" t="n"/>
      <c r="G290" s="21" t="n"/>
      <c r="H290" s="21" t="n"/>
      <c r="I290" s="21" t="n"/>
      <c r="J290" s="23">
        <f>IF($A290="","",TEXT($A290,"yyyy-mm"))</f>
        <v/>
      </c>
    </row>
    <row r="291" ht="18" customHeight="1">
      <c r="A291" s="20" t="n"/>
      <c r="B291" s="21" t="n"/>
      <c r="C291" s="22" t="n"/>
      <c r="D291" s="21" t="n"/>
      <c r="E291" s="21" t="n"/>
      <c r="F291" s="21" t="n"/>
      <c r="G291" s="21" t="n"/>
      <c r="H291" s="21" t="n"/>
      <c r="I291" s="21" t="n"/>
      <c r="J291" s="23">
        <f>IF($A291="","",TEXT($A291,"yyyy-mm"))</f>
        <v/>
      </c>
    </row>
    <row r="292" ht="18" customHeight="1">
      <c r="A292" s="20" t="n"/>
      <c r="B292" s="21" t="n"/>
      <c r="C292" s="22" t="n"/>
      <c r="D292" s="21" t="n"/>
      <c r="E292" s="21" t="n"/>
      <c r="F292" s="21" t="n"/>
      <c r="G292" s="21" t="n"/>
      <c r="H292" s="21" t="n"/>
      <c r="I292" s="21" t="n"/>
      <c r="J292" s="23">
        <f>IF($A292="","",TEXT($A292,"yyyy-mm"))</f>
        <v/>
      </c>
    </row>
    <row r="293" ht="18" customHeight="1">
      <c r="A293" s="20" t="n"/>
      <c r="B293" s="21" t="n"/>
      <c r="C293" s="22" t="n"/>
      <c r="D293" s="21" t="n"/>
      <c r="E293" s="21" t="n"/>
      <c r="F293" s="21" t="n"/>
      <c r="G293" s="21" t="n"/>
      <c r="H293" s="21" t="n"/>
      <c r="I293" s="21" t="n"/>
      <c r="J293" s="23">
        <f>IF($A293="","",TEXT($A293,"yyyy-mm"))</f>
        <v/>
      </c>
    </row>
    <row r="294" ht="18" customHeight="1">
      <c r="A294" s="20" t="n"/>
      <c r="B294" s="21" t="n"/>
      <c r="C294" s="22" t="n"/>
      <c r="D294" s="21" t="n"/>
      <c r="E294" s="21" t="n"/>
      <c r="F294" s="21" t="n"/>
      <c r="G294" s="21" t="n"/>
      <c r="H294" s="21" t="n"/>
      <c r="I294" s="21" t="n"/>
      <c r="J294" s="23">
        <f>IF($A294="","",TEXT($A294,"yyyy-mm"))</f>
        <v/>
      </c>
    </row>
    <row r="295" ht="18" customHeight="1">
      <c r="A295" s="20" t="n"/>
      <c r="B295" s="21" t="n"/>
      <c r="C295" s="22" t="n"/>
      <c r="D295" s="21" t="n"/>
      <c r="E295" s="21" t="n"/>
      <c r="F295" s="21" t="n"/>
      <c r="G295" s="21" t="n"/>
      <c r="H295" s="21" t="n"/>
      <c r="I295" s="21" t="n"/>
      <c r="J295" s="23">
        <f>IF($A295="","",TEXT($A295,"yyyy-mm"))</f>
        <v/>
      </c>
    </row>
    <row r="296" ht="18" customHeight="1">
      <c r="A296" s="20" t="n"/>
      <c r="B296" s="21" t="n"/>
      <c r="C296" s="22" t="n"/>
      <c r="D296" s="21" t="n"/>
      <c r="E296" s="21" t="n"/>
      <c r="F296" s="21" t="n"/>
      <c r="G296" s="21" t="n"/>
      <c r="H296" s="21" t="n"/>
      <c r="I296" s="21" t="n"/>
      <c r="J296" s="23">
        <f>IF($A296="","",TEXT($A296,"yyyy-mm"))</f>
        <v/>
      </c>
    </row>
    <row r="297" ht="18" customHeight="1">
      <c r="A297" s="20" t="n"/>
      <c r="B297" s="21" t="n"/>
      <c r="C297" s="22" t="n"/>
      <c r="D297" s="21" t="n"/>
      <c r="E297" s="21" t="n"/>
      <c r="F297" s="21" t="n"/>
      <c r="G297" s="21" t="n"/>
      <c r="H297" s="21" t="n"/>
      <c r="I297" s="21" t="n"/>
      <c r="J297" s="23">
        <f>IF($A297="","",TEXT($A297,"yyyy-mm"))</f>
        <v/>
      </c>
    </row>
    <row r="298" ht="18" customHeight="1">
      <c r="A298" s="20" t="n"/>
      <c r="B298" s="21" t="n"/>
      <c r="C298" s="22" t="n"/>
      <c r="D298" s="21" t="n"/>
      <c r="E298" s="21" t="n"/>
      <c r="F298" s="21" t="n"/>
      <c r="G298" s="21" t="n"/>
      <c r="H298" s="21" t="n"/>
      <c r="I298" s="21" t="n"/>
      <c r="J298" s="23">
        <f>IF($A298="","",TEXT($A298,"yyyy-mm"))</f>
        <v/>
      </c>
    </row>
    <row r="299" ht="18" customHeight="1">
      <c r="A299" s="20" t="n"/>
      <c r="B299" s="21" t="n"/>
      <c r="C299" s="22" t="n"/>
      <c r="D299" s="21" t="n"/>
      <c r="E299" s="21" t="n"/>
      <c r="F299" s="21" t="n"/>
      <c r="G299" s="21" t="n"/>
      <c r="H299" s="21" t="n"/>
      <c r="I299" s="21" t="n"/>
      <c r="J299" s="23">
        <f>IF($A299="","",TEXT($A299,"yyyy-mm"))</f>
        <v/>
      </c>
    </row>
    <row r="300" ht="18" customHeight="1">
      <c r="A300" s="20" t="n"/>
      <c r="B300" s="21" t="n"/>
      <c r="C300" s="22" t="n"/>
      <c r="D300" s="21" t="n"/>
      <c r="E300" s="21" t="n"/>
      <c r="F300" s="21" t="n"/>
      <c r="G300" s="21" t="n"/>
      <c r="H300" s="21" t="n"/>
      <c r="I300" s="21" t="n"/>
      <c r="J300" s="23">
        <f>IF($A300="","",TEXT($A300,"yyyy-mm"))</f>
        <v/>
      </c>
    </row>
    <row r="301" ht="18" customHeight="1">
      <c r="A301" s="20" t="n"/>
      <c r="B301" s="21" t="n"/>
      <c r="C301" s="22" t="n"/>
      <c r="D301" s="21" t="n"/>
      <c r="E301" s="21" t="n"/>
      <c r="F301" s="21" t="n"/>
      <c r="G301" s="21" t="n"/>
      <c r="H301" s="21" t="n"/>
      <c r="I301" s="21" t="n"/>
      <c r="J301" s="23">
        <f>IF($A301="","",TEXT($A301,"yyyy-mm"))</f>
        <v/>
      </c>
    </row>
    <row r="302" ht="18" customHeight="1">
      <c r="A302" s="20" t="n"/>
      <c r="B302" s="21" t="n"/>
      <c r="C302" s="22" t="n"/>
      <c r="D302" s="21" t="n"/>
      <c r="E302" s="21" t="n"/>
      <c r="F302" s="21" t="n"/>
      <c r="G302" s="21" t="n"/>
      <c r="H302" s="21" t="n"/>
      <c r="I302" s="21" t="n"/>
      <c r="J302" s="23">
        <f>IF($A302="","",TEXT($A302,"yyyy-mm"))</f>
        <v/>
      </c>
    </row>
    <row r="303" ht="18" customHeight="1">
      <c r="A303" s="20" t="n"/>
      <c r="B303" s="21" t="n"/>
      <c r="C303" s="22" t="n"/>
      <c r="D303" s="21" t="n"/>
      <c r="E303" s="21" t="n"/>
      <c r="F303" s="21" t="n"/>
      <c r="G303" s="21" t="n"/>
      <c r="H303" s="21" t="n"/>
      <c r="I303" s="21" t="n"/>
      <c r="J303" s="23">
        <f>IF($A303="","",TEXT($A303,"yyyy-mm"))</f>
        <v/>
      </c>
    </row>
    <row r="304" ht="18" customHeight="1">
      <c r="A304" s="20" t="n"/>
      <c r="B304" s="21" t="n"/>
      <c r="C304" s="22" t="n"/>
      <c r="D304" s="21" t="n"/>
      <c r="E304" s="21" t="n"/>
      <c r="F304" s="21" t="n"/>
      <c r="G304" s="21" t="n"/>
      <c r="H304" s="21" t="n"/>
      <c r="I304" s="21" t="n"/>
      <c r="J304" s="23">
        <f>IF($A304="","",TEXT($A304,"yyyy-mm"))</f>
        <v/>
      </c>
    </row>
    <row r="305" ht="18" customHeight="1">
      <c r="A305" s="20" t="n"/>
      <c r="B305" s="21" t="n"/>
      <c r="C305" s="22" t="n"/>
      <c r="D305" s="21" t="n"/>
      <c r="E305" s="21" t="n"/>
      <c r="F305" s="21" t="n"/>
      <c r="G305" s="21" t="n"/>
      <c r="H305" s="21" t="n"/>
      <c r="I305" s="21" t="n"/>
      <c r="J305" s="23">
        <f>IF($A305="","",TEXT($A305,"yyyy-mm"))</f>
        <v/>
      </c>
    </row>
    <row r="306" ht="18" customHeight="1">
      <c r="A306" s="20" t="n"/>
      <c r="B306" s="21" t="n"/>
      <c r="C306" s="22" t="n"/>
      <c r="D306" s="21" t="n"/>
      <c r="E306" s="21" t="n"/>
      <c r="F306" s="21" t="n"/>
      <c r="G306" s="21" t="n"/>
      <c r="H306" s="21" t="n"/>
      <c r="I306" s="21" t="n"/>
      <c r="J306" s="23">
        <f>IF($A306="","",TEXT($A306,"yyyy-mm"))</f>
        <v/>
      </c>
    </row>
    <row r="307" ht="18" customHeight="1">
      <c r="A307" s="20" t="n"/>
      <c r="B307" s="21" t="n"/>
      <c r="C307" s="22" t="n"/>
      <c r="D307" s="21" t="n"/>
      <c r="E307" s="21" t="n"/>
      <c r="F307" s="21" t="n"/>
      <c r="G307" s="21" t="n"/>
      <c r="H307" s="21" t="n"/>
      <c r="I307" s="21" t="n"/>
      <c r="J307" s="23">
        <f>IF($A307="","",TEXT($A307,"yyyy-mm"))</f>
        <v/>
      </c>
    </row>
    <row r="308" ht="18" customHeight="1">
      <c r="A308" s="20" t="n"/>
      <c r="B308" s="21" t="n"/>
      <c r="C308" s="22" t="n"/>
      <c r="D308" s="21" t="n"/>
      <c r="E308" s="21" t="n"/>
      <c r="F308" s="21" t="n"/>
      <c r="G308" s="21" t="n"/>
      <c r="H308" s="21" t="n"/>
      <c r="I308" s="21" t="n"/>
      <c r="J308" s="23">
        <f>IF($A308="","",TEXT($A308,"yyyy-mm"))</f>
        <v/>
      </c>
    </row>
    <row r="309" ht="18" customHeight="1">
      <c r="A309" s="20" t="n"/>
      <c r="B309" s="21" t="n"/>
      <c r="C309" s="22" t="n"/>
      <c r="D309" s="21" t="n"/>
      <c r="E309" s="21" t="n"/>
      <c r="F309" s="21" t="n"/>
      <c r="G309" s="21" t="n"/>
      <c r="H309" s="21" t="n"/>
      <c r="I309" s="21" t="n"/>
      <c r="J309" s="23">
        <f>IF($A309="","",TEXT($A309,"yyyy-mm"))</f>
        <v/>
      </c>
    </row>
    <row r="310" ht="18" customHeight="1">
      <c r="A310" s="20" t="n"/>
      <c r="B310" s="21" t="n"/>
      <c r="C310" s="22" t="n"/>
      <c r="D310" s="21" t="n"/>
      <c r="E310" s="21" t="n"/>
      <c r="F310" s="21" t="n"/>
      <c r="G310" s="21" t="n"/>
      <c r="H310" s="21" t="n"/>
      <c r="I310" s="21" t="n"/>
      <c r="J310" s="23">
        <f>IF($A310="","",TEXT($A310,"yyyy-mm"))</f>
        <v/>
      </c>
    </row>
    <row r="311" ht="18" customHeight="1">
      <c r="A311" s="20" t="n"/>
      <c r="B311" s="21" t="n"/>
      <c r="C311" s="22" t="n"/>
      <c r="D311" s="21" t="n"/>
      <c r="E311" s="21" t="n"/>
      <c r="F311" s="21" t="n"/>
      <c r="G311" s="21" t="n"/>
      <c r="H311" s="21" t="n"/>
      <c r="I311" s="21" t="n"/>
      <c r="J311" s="23">
        <f>IF($A311="","",TEXT($A311,"yyyy-mm"))</f>
        <v/>
      </c>
    </row>
    <row r="312" ht="18" customHeight="1">
      <c r="A312" s="20" t="n"/>
      <c r="B312" s="21" t="n"/>
      <c r="C312" s="22" t="n"/>
      <c r="D312" s="21" t="n"/>
      <c r="E312" s="21" t="n"/>
      <c r="F312" s="21" t="n"/>
      <c r="G312" s="21" t="n"/>
      <c r="H312" s="21" t="n"/>
      <c r="I312" s="21" t="n"/>
      <c r="J312" s="23">
        <f>IF($A312="","",TEXT($A312,"yyyy-mm"))</f>
        <v/>
      </c>
    </row>
    <row r="313" ht="18" customHeight="1">
      <c r="A313" s="20" t="n"/>
      <c r="B313" s="21" t="n"/>
      <c r="C313" s="22" t="n"/>
      <c r="D313" s="21" t="n"/>
      <c r="E313" s="21" t="n"/>
      <c r="F313" s="21" t="n"/>
      <c r="G313" s="21" t="n"/>
      <c r="H313" s="21" t="n"/>
      <c r="I313" s="21" t="n"/>
      <c r="J313" s="23">
        <f>IF($A313="","",TEXT($A313,"yyyy-mm"))</f>
        <v/>
      </c>
    </row>
    <row r="314" ht="18" customHeight="1">
      <c r="A314" s="20" t="n"/>
      <c r="B314" s="21" t="n"/>
      <c r="C314" s="22" t="n"/>
      <c r="D314" s="21" t="n"/>
      <c r="E314" s="21" t="n"/>
      <c r="F314" s="21" t="n"/>
      <c r="G314" s="21" t="n"/>
      <c r="H314" s="21" t="n"/>
      <c r="I314" s="21" t="n"/>
      <c r="J314" s="23">
        <f>IF($A314="","",TEXT($A314,"yyyy-mm"))</f>
        <v/>
      </c>
    </row>
    <row r="315" ht="18" customHeight="1">
      <c r="A315" s="20" t="n"/>
      <c r="B315" s="21" t="n"/>
      <c r="C315" s="22" t="n"/>
      <c r="D315" s="21" t="n"/>
      <c r="E315" s="21" t="n"/>
      <c r="F315" s="21" t="n"/>
      <c r="G315" s="21" t="n"/>
      <c r="H315" s="21" t="n"/>
      <c r="I315" s="21" t="n"/>
      <c r="J315" s="23">
        <f>IF($A315="","",TEXT($A315,"yyyy-mm"))</f>
        <v/>
      </c>
    </row>
    <row r="316" ht="18" customHeight="1">
      <c r="A316" s="20" t="n"/>
      <c r="B316" s="21" t="n"/>
      <c r="C316" s="22" t="n"/>
      <c r="D316" s="21" t="n"/>
      <c r="E316" s="21" t="n"/>
      <c r="F316" s="21" t="n"/>
      <c r="G316" s="21" t="n"/>
      <c r="H316" s="21" t="n"/>
      <c r="I316" s="21" t="n"/>
      <c r="J316" s="23">
        <f>IF($A316="","",TEXT($A316,"yyyy-mm"))</f>
        <v/>
      </c>
    </row>
    <row r="317" ht="18" customHeight="1">
      <c r="A317" s="20" t="n"/>
      <c r="B317" s="21" t="n"/>
      <c r="C317" s="22" t="n"/>
      <c r="D317" s="21" t="n"/>
      <c r="E317" s="21" t="n"/>
      <c r="F317" s="21" t="n"/>
      <c r="G317" s="21" t="n"/>
      <c r="H317" s="21" t="n"/>
      <c r="I317" s="21" t="n"/>
      <c r="J317" s="23">
        <f>IF($A317="","",TEXT($A317,"yyyy-mm"))</f>
        <v/>
      </c>
    </row>
    <row r="318" ht="18" customHeight="1">
      <c r="A318" s="20" t="n"/>
      <c r="B318" s="21" t="n"/>
      <c r="C318" s="22" t="n"/>
      <c r="D318" s="21" t="n"/>
      <c r="E318" s="21" t="n"/>
      <c r="F318" s="21" t="n"/>
      <c r="G318" s="21" t="n"/>
      <c r="H318" s="21" t="n"/>
      <c r="I318" s="21" t="n"/>
      <c r="J318" s="23">
        <f>IF($A318="","",TEXT($A318,"yyyy-mm"))</f>
        <v/>
      </c>
    </row>
    <row r="319" ht="18" customHeight="1">
      <c r="A319" s="20" t="n"/>
      <c r="B319" s="21" t="n"/>
      <c r="C319" s="22" t="n"/>
      <c r="D319" s="21" t="n"/>
      <c r="E319" s="21" t="n"/>
      <c r="F319" s="21" t="n"/>
      <c r="G319" s="21" t="n"/>
      <c r="H319" s="21" t="n"/>
      <c r="I319" s="21" t="n"/>
      <c r="J319" s="23">
        <f>IF($A319="","",TEXT($A319,"yyyy-mm"))</f>
        <v/>
      </c>
    </row>
    <row r="320" ht="18" customHeight="1">
      <c r="A320" s="20" t="n"/>
      <c r="B320" s="21" t="n"/>
      <c r="C320" s="22" t="n"/>
      <c r="D320" s="21" t="n"/>
      <c r="E320" s="21" t="n"/>
      <c r="F320" s="21" t="n"/>
      <c r="G320" s="21" t="n"/>
      <c r="H320" s="21" t="n"/>
      <c r="I320" s="21" t="n"/>
      <c r="J320" s="23">
        <f>IF($A320="","",TEXT($A320,"yyyy-mm"))</f>
        <v/>
      </c>
    </row>
    <row r="321" ht="18" customHeight="1">
      <c r="A321" s="20" t="n"/>
      <c r="B321" s="21" t="n"/>
      <c r="C321" s="22" t="n"/>
      <c r="D321" s="21" t="n"/>
      <c r="E321" s="21" t="n"/>
      <c r="F321" s="21" t="n"/>
      <c r="G321" s="21" t="n"/>
      <c r="H321" s="21" t="n"/>
      <c r="I321" s="21" t="n"/>
      <c r="J321" s="23">
        <f>IF($A321="","",TEXT($A321,"yyyy-mm"))</f>
        <v/>
      </c>
    </row>
    <row r="322" ht="18" customHeight="1">
      <c r="A322" s="20" t="n"/>
      <c r="B322" s="21" t="n"/>
      <c r="C322" s="22" t="n"/>
      <c r="D322" s="21" t="n"/>
      <c r="E322" s="21" t="n"/>
      <c r="F322" s="21" t="n"/>
      <c r="G322" s="21" t="n"/>
      <c r="H322" s="21" t="n"/>
      <c r="I322" s="21" t="n"/>
      <c r="J322" s="23">
        <f>IF($A322="","",TEXT($A322,"yyyy-mm"))</f>
        <v/>
      </c>
    </row>
    <row r="323" ht="18" customHeight="1">
      <c r="A323" s="20" t="n"/>
      <c r="B323" s="21" t="n"/>
      <c r="C323" s="22" t="n"/>
      <c r="D323" s="21" t="n"/>
      <c r="E323" s="21" t="n"/>
      <c r="F323" s="21" t="n"/>
      <c r="G323" s="21" t="n"/>
      <c r="H323" s="21" t="n"/>
      <c r="I323" s="21" t="n"/>
      <c r="J323" s="23">
        <f>IF($A323="","",TEXT($A323,"yyyy-mm"))</f>
        <v/>
      </c>
    </row>
    <row r="324" ht="18" customHeight="1">
      <c r="A324" s="20" t="n"/>
      <c r="B324" s="21" t="n"/>
      <c r="C324" s="22" t="n"/>
      <c r="D324" s="21" t="n"/>
      <c r="E324" s="21" t="n"/>
      <c r="F324" s="21" t="n"/>
      <c r="G324" s="21" t="n"/>
      <c r="H324" s="21" t="n"/>
      <c r="I324" s="21" t="n"/>
      <c r="J324" s="23">
        <f>IF($A324="","",TEXT($A324,"yyyy-mm"))</f>
        <v/>
      </c>
    </row>
    <row r="325" ht="18" customHeight="1">
      <c r="A325" s="20" t="n"/>
      <c r="B325" s="21" t="n"/>
      <c r="C325" s="22" t="n"/>
      <c r="D325" s="21" t="n"/>
      <c r="E325" s="21" t="n"/>
      <c r="F325" s="21" t="n"/>
      <c r="G325" s="21" t="n"/>
      <c r="H325" s="21" t="n"/>
      <c r="I325" s="21" t="n"/>
      <c r="J325" s="23">
        <f>IF($A325="","",TEXT($A325,"yyyy-mm"))</f>
        <v/>
      </c>
    </row>
    <row r="326" ht="18" customHeight="1">
      <c r="A326" s="20" t="n"/>
      <c r="B326" s="21" t="n"/>
      <c r="C326" s="22" t="n"/>
      <c r="D326" s="21" t="n"/>
      <c r="E326" s="21" t="n"/>
      <c r="F326" s="21" t="n"/>
      <c r="G326" s="21" t="n"/>
      <c r="H326" s="21" t="n"/>
      <c r="I326" s="21" t="n"/>
      <c r="J326" s="23">
        <f>IF($A326="","",TEXT($A326,"yyyy-mm"))</f>
        <v/>
      </c>
    </row>
    <row r="327" ht="18" customHeight="1">
      <c r="A327" s="20" t="n"/>
      <c r="B327" s="21" t="n"/>
      <c r="C327" s="22" t="n"/>
      <c r="D327" s="21" t="n"/>
      <c r="E327" s="21" t="n"/>
      <c r="F327" s="21" t="n"/>
      <c r="G327" s="21" t="n"/>
      <c r="H327" s="21" t="n"/>
      <c r="I327" s="21" t="n"/>
      <c r="J327" s="23">
        <f>IF($A327="","",TEXT($A327,"yyyy-mm"))</f>
        <v/>
      </c>
    </row>
    <row r="328" ht="18" customHeight="1">
      <c r="A328" s="20" t="n"/>
      <c r="B328" s="21" t="n"/>
      <c r="C328" s="22" t="n"/>
      <c r="D328" s="21" t="n"/>
      <c r="E328" s="21" t="n"/>
      <c r="F328" s="21" t="n"/>
      <c r="G328" s="21" t="n"/>
      <c r="H328" s="21" t="n"/>
      <c r="I328" s="21" t="n"/>
      <c r="J328" s="23">
        <f>IF($A328="","",TEXT($A328,"yyyy-mm"))</f>
        <v/>
      </c>
    </row>
    <row r="329" ht="18" customHeight="1">
      <c r="A329" s="20" t="n"/>
      <c r="B329" s="21" t="n"/>
      <c r="C329" s="22" t="n"/>
      <c r="D329" s="21" t="n"/>
      <c r="E329" s="21" t="n"/>
      <c r="F329" s="21" t="n"/>
      <c r="G329" s="21" t="n"/>
      <c r="H329" s="21" t="n"/>
      <c r="I329" s="21" t="n"/>
      <c r="J329" s="23">
        <f>IF($A329="","",TEXT($A329,"yyyy-mm"))</f>
        <v/>
      </c>
    </row>
    <row r="330" ht="18" customHeight="1">
      <c r="A330" s="20" t="n"/>
      <c r="B330" s="21" t="n"/>
      <c r="C330" s="22" t="n"/>
      <c r="D330" s="21" t="n"/>
      <c r="E330" s="21" t="n"/>
      <c r="F330" s="21" t="n"/>
      <c r="G330" s="21" t="n"/>
      <c r="H330" s="21" t="n"/>
      <c r="I330" s="21" t="n"/>
      <c r="J330" s="23">
        <f>IF($A330="","",TEXT($A330,"yyyy-mm"))</f>
        <v/>
      </c>
    </row>
    <row r="331" ht="18" customHeight="1">
      <c r="A331" s="20" t="n"/>
      <c r="B331" s="21" t="n"/>
      <c r="C331" s="22" t="n"/>
      <c r="D331" s="21" t="n"/>
      <c r="E331" s="21" t="n"/>
      <c r="F331" s="21" t="n"/>
      <c r="G331" s="21" t="n"/>
      <c r="H331" s="21" t="n"/>
      <c r="I331" s="21" t="n"/>
      <c r="J331" s="23">
        <f>IF($A331="","",TEXT($A331,"yyyy-mm"))</f>
        <v/>
      </c>
    </row>
    <row r="332" ht="18" customHeight="1">
      <c r="A332" s="20" t="n"/>
      <c r="B332" s="21" t="n"/>
      <c r="C332" s="22" t="n"/>
      <c r="D332" s="21" t="n"/>
      <c r="E332" s="21" t="n"/>
      <c r="F332" s="21" t="n"/>
      <c r="G332" s="21" t="n"/>
      <c r="H332" s="21" t="n"/>
      <c r="I332" s="21" t="n"/>
      <c r="J332" s="23">
        <f>IF($A332="","",TEXT($A332,"yyyy-mm"))</f>
        <v/>
      </c>
    </row>
    <row r="333" ht="18" customHeight="1">
      <c r="A333" s="20" t="n"/>
      <c r="B333" s="21" t="n"/>
      <c r="C333" s="22" t="n"/>
      <c r="D333" s="21" t="n"/>
      <c r="E333" s="21" t="n"/>
      <c r="F333" s="21" t="n"/>
      <c r="G333" s="21" t="n"/>
      <c r="H333" s="21" t="n"/>
      <c r="I333" s="21" t="n"/>
      <c r="J333" s="23">
        <f>IF($A333="","",TEXT($A333,"yyyy-mm"))</f>
        <v/>
      </c>
    </row>
    <row r="334" ht="18" customHeight="1">
      <c r="A334" s="20" t="n"/>
      <c r="B334" s="21" t="n"/>
      <c r="C334" s="22" t="n"/>
      <c r="D334" s="21" t="n"/>
      <c r="E334" s="21" t="n"/>
      <c r="F334" s="21" t="n"/>
      <c r="G334" s="21" t="n"/>
      <c r="H334" s="21" t="n"/>
      <c r="I334" s="21" t="n"/>
      <c r="J334" s="23">
        <f>IF($A334="","",TEXT($A334,"yyyy-mm"))</f>
        <v/>
      </c>
    </row>
    <row r="335" ht="18" customHeight="1">
      <c r="A335" s="20" t="n"/>
      <c r="B335" s="21" t="n"/>
      <c r="C335" s="22" t="n"/>
      <c r="D335" s="21" t="n"/>
      <c r="E335" s="21" t="n"/>
      <c r="F335" s="21" t="n"/>
      <c r="G335" s="21" t="n"/>
      <c r="H335" s="21" t="n"/>
      <c r="I335" s="21" t="n"/>
      <c r="J335" s="23">
        <f>IF($A335="","",TEXT($A335,"yyyy-mm"))</f>
        <v/>
      </c>
    </row>
    <row r="336" ht="18" customHeight="1">
      <c r="A336" s="20" t="n"/>
      <c r="B336" s="21" t="n"/>
      <c r="C336" s="22" t="n"/>
      <c r="D336" s="21" t="n"/>
      <c r="E336" s="21" t="n"/>
      <c r="F336" s="21" t="n"/>
      <c r="G336" s="21" t="n"/>
      <c r="H336" s="21" t="n"/>
      <c r="I336" s="21" t="n"/>
      <c r="J336" s="23">
        <f>IF($A336="","",TEXT($A336,"yyyy-mm"))</f>
        <v/>
      </c>
    </row>
    <row r="337" ht="18" customHeight="1">
      <c r="A337" s="20" t="n"/>
      <c r="B337" s="21" t="n"/>
      <c r="C337" s="22" t="n"/>
      <c r="D337" s="21" t="n"/>
      <c r="E337" s="21" t="n"/>
      <c r="F337" s="21" t="n"/>
      <c r="G337" s="21" t="n"/>
      <c r="H337" s="21" t="n"/>
      <c r="I337" s="21" t="n"/>
      <c r="J337" s="23">
        <f>IF($A337="","",TEXT($A337,"yyyy-mm"))</f>
        <v/>
      </c>
    </row>
    <row r="338" ht="18" customHeight="1">
      <c r="A338" s="20" t="n"/>
      <c r="B338" s="21" t="n"/>
      <c r="C338" s="22" t="n"/>
      <c r="D338" s="21" t="n"/>
      <c r="E338" s="21" t="n"/>
      <c r="F338" s="21" t="n"/>
      <c r="G338" s="21" t="n"/>
      <c r="H338" s="21" t="n"/>
      <c r="I338" s="21" t="n"/>
      <c r="J338" s="23">
        <f>IF($A338="","",TEXT($A338,"yyyy-mm"))</f>
        <v/>
      </c>
    </row>
    <row r="339" ht="18" customHeight="1">
      <c r="A339" s="20" t="n"/>
      <c r="B339" s="21" t="n"/>
      <c r="C339" s="22" t="n"/>
      <c r="D339" s="21" t="n"/>
      <c r="E339" s="21" t="n"/>
      <c r="F339" s="21" t="n"/>
      <c r="G339" s="21" t="n"/>
      <c r="H339" s="21" t="n"/>
      <c r="I339" s="21" t="n"/>
      <c r="J339" s="23">
        <f>IF($A339="","",TEXT($A339,"yyyy-mm"))</f>
        <v/>
      </c>
    </row>
    <row r="340" ht="18" customHeight="1">
      <c r="A340" s="20" t="n"/>
      <c r="B340" s="21" t="n"/>
      <c r="C340" s="22" t="n"/>
      <c r="D340" s="21" t="n"/>
      <c r="E340" s="21" t="n"/>
      <c r="F340" s="21" t="n"/>
      <c r="G340" s="21" t="n"/>
      <c r="H340" s="21" t="n"/>
      <c r="I340" s="21" t="n"/>
      <c r="J340" s="23">
        <f>IF($A340="","",TEXT($A340,"yyyy-mm"))</f>
        <v/>
      </c>
    </row>
    <row r="341" ht="18" customHeight="1">
      <c r="A341" s="20" t="n"/>
      <c r="B341" s="21" t="n"/>
      <c r="C341" s="22" t="n"/>
      <c r="D341" s="21" t="n"/>
      <c r="E341" s="21" t="n"/>
      <c r="F341" s="21" t="n"/>
      <c r="G341" s="21" t="n"/>
      <c r="H341" s="21" t="n"/>
      <c r="I341" s="21" t="n"/>
      <c r="J341" s="23">
        <f>IF($A341="","",TEXT($A341,"yyyy-mm"))</f>
        <v/>
      </c>
    </row>
    <row r="342" ht="18" customHeight="1">
      <c r="A342" s="20" t="n"/>
      <c r="B342" s="21" t="n"/>
      <c r="C342" s="22" t="n"/>
      <c r="D342" s="21" t="n"/>
      <c r="E342" s="21" t="n"/>
      <c r="F342" s="21" t="n"/>
      <c r="G342" s="21" t="n"/>
      <c r="H342" s="21" t="n"/>
      <c r="I342" s="21" t="n"/>
      <c r="J342" s="23">
        <f>IF($A342="","",TEXT($A342,"yyyy-mm"))</f>
        <v/>
      </c>
    </row>
    <row r="343" ht="18" customHeight="1">
      <c r="A343" s="20" t="n"/>
      <c r="B343" s="21" t="n"/>
      <c r="C343" s="22" t="n"/>
      <c r="D343" s="21" t="n"/>
      <c r="E343" s="21" t="n"/>
      <c r="F343" s="21" t="n"/>
      <c r="G343" s="21" t="n"/>
      <c r="H343" s="21" t="n"/>
      <c r="I343" s="21" t="n"/>
      <c r="J343" s="23">
        <f>IF($A343="","",TEXT($A343,"yyyy-mm"))</f>
        <v/>
      </c>
    </row>
    <row r="344" ht="18" customHeight="1">
      <c r="A344" s="20" t="n"/>
      <c r="B344" s="21" t="n"/>
      <c r="C344" s="22" t="n"/>
      <c r="D344" s="21" t="n"/>
      <c r="E344" s="21" t="n"/>
      <c r="F344" s="21" t="n"/>
      <c r="G344" s="21" t="n"/>
      <c r="H344" s="21" t="n"/>
      <c r="I344" s="21" t="n"/>
      <c r="J344" s="23">
        <f>IF($A344="","",TEXT($A344,"yyyy-mm"))</f>
        <v/>
      </c>
    </row>
    <row r="345" ht="18" customHeight="1">
      <c r="A345" s="20" t="n"/>
      <c r="B345" s="21" t="n"/>
      <c r="C345" s="22" t="n"/>
      <c r="D345" s="21" t="n"/>
      <c r="E345" s="21" t="n"/>
      <c r="F345" s="21" t="n"/>
      <c r="G345" s="21" t="n"/>
      <c r="H345" s="21" t="n"/>
      <c r="I345" s="21" t="n"/>
      <c r="J345" s="23">
        <f>IF($A345="","",TEXT($A345,"yyyy-mm"))</f>
        <v/>
      </c>
    </row>
    <row r="346" ht="18" customHeight="1">
      <c r="A346" s="20" t="n"/>
      <c r="B346" s="21" t="n"/>
      <c r="C346" s="22" t="n"/>
      <c r="D346" s="21" t="n"/>
      <c r="E346" s="21" t="n"/>
      <c r="F346" s="21" t="n"/>
      <c r="G346" s="21" t="n"/>
      <c r="H346" s="21" t="n"/>
      <c r="I346" s="21" t="n"/>
      <c r="J346" s="23">
        <f>IF($A346="","",TEXT($A346,"yyyy-mm"))</f>
        <v/>
      </c>
    </row>
    <row r="347" ht="18" customHeight="1">
      <c r="A347" s="20" t="n"/>
      <c r="B347" s="21" t="n"/>
      <c r="C347" s="22" t="n"/>
      <c r="D347" s="21" t="n"/>
      <c r="E347" s="21" t="n"/>
      <c r="F347" s="21" t="n"/>
      <c r="G347" s="21" t="n"/>
      <c r="H347" s="21" t="n"/>
      <c r="I347" s="21" t="n"/>
      <c r="J347" s="23">
        <f>IF($A347="","",TEXT($A347,"yyyy-mm"))</f>
        <v/>
      </c>
    </row>
    <row r="348" ht="18" customHeight="1">
      <c r="A348" s="20" t="n"/>
      <c r="B348" s="21" t="n"/>
      <c r="C348" s="22" t="n"/>
      <c r="D348" s="21" t="n"/>
      <c r="E348" s="21" t="n"/>
      <c r="F348" s="21" t="n"/>
      <c r="G348" s="21" t="n"/>
      <c r="H348" s="21" t="n"/>
      <c r="I348" s="21" t="n"/>
      <c r="J348" s="23">
        <f>IF($A348="","",TEXT($A348,"yyyy-mm"))</f>
        <v/>
      </c>
    </row>
    <row r="349" ht="18" customHeight="1">
      <c r="A349" s="20" t="n"/>
      <c r="B349" s="21" t="n"/>
      <c r="C349" s="22" t="n"/>
      <c r="D349" s="21" t="n"/>
      <c r="E349" s="21" t="n"/>
      <c r="F349" s="21" t="n"/>
      <c r="G349" s="21" t="n"/>
      <c r="H349" s="21" t="n"/>
      <c r="I349" s="21" t="n"/>
      <c r="J349" s="23">
        <f>IF($A349="","",TEXT($A349,"yyyy-mm"))</f>
        <v/>
      </c>
    </row>
    <row r="350" ht="18" customHeight="1">
      <c r="A350" s="20" t="n"/>
      <c r="B350" s="21" t="n"/>
      <c r="C350" s="22" t="n"/>
      <c r="D350" s="21" t="n"/>
      <c r="E350" s="21" t="n"/>
      <c r="F350" s="21" t="n"/>
      <c r="G350" s="21" t="n"/>
      <c r="H350" s="21" t="n"/>
      <c r="I350" s="21" t="n"/>
      <c r="J350" s="23">
        <f>IF($A350="","",TEXT($A350,"yyyy-mm"))</f>
        <v/>
      </c>
    </row>
    <row r="351" ht="18" customHeight="1">
      <c r="A351" s="20" t="n"/>
      <c r="B351" s="21" t="n"/>
      <c r="C351" s="22" t="n"/>
      <c r="D351" s="21" t="n"/>
      <c r="E351" s="21" t="n"/>
      <c r="F351" s="21" t="n"/>
      <c r="G351" s="21" t="n"/>
      <c r="H351" s="21" t="n"/>
      <c r="I351" s="21" t="n"/>
      <c r="J351" s="23">
        <f>IF($A351="","",TEXT($A351,"yyyy-mm"))</f>
        <v/>
      </c>
    </row>
    <row r="352" ht="18" customHeight="1">
      <c r="A352" s="20" t="n"/>
      <c r="B352" s="21" t="n"/>
      <c r="C352" s="22" t="n"/>
      <c r="D352" s="21" t="n"/>
      <c r="E352" s="21" t="n"/>
      <c r="F352" s="21" t="n"/>
      <c r="G352" s="21" t="n"/>
      <c r="H352" s="21" t="n"/>
      <c r="I352" s="21" t="n"/>
      <c r="J352" s="23">
        <f>IF($A352="","",TEXT($A352,"yyyy-mm"))</f>
        <v/>
      </c>
    </row>
    <row r="353" ht="18" customHeight="1">
      <c r="A353" s="20" t="n"/>
      <c r="B353" s="21" t="n"/>
      <c r="C353" s="22" t="n"/>
      <c r="D353" s="21" t="n"/>
      <c r="E353" s="21" t="n"/>
      <c r="F353" s="21" t="n"/>
      <c r="G353" s="21" t="n"/>
      <c r="H353" s="21" t="n"/>
      <c r="I353" s="21" t="n"/>
      <c r="J353" s="23">
        <f>IF($A353="","",TEXT($A353,"yyyy-mm"))</f>
        <v/>
      </c>
    </row>
    <row r="354" ht="18" customHeight="1">
      <c r="A354" s="20" t="n"/>
      <c r="B354" s="21" t="n"/>
      <c r="C354" s="22" t="n"/>
      <c r="D354" s="21" t="n"/>
      <c r="E354" s="21" t="n"/>
      <c r="F354" s="21" t="n"/>
      <c r="G354" s="21" t="n"/>
      <c r="H354" s="21" t="n"/>
      <c r="I354" s="21" t="n"/>
      <c r="J354" s="23">
        <f>IF($A354="","",TEXT($A354,"yyyy-mm"))</f>
        <v/>
      </c>
    </row>
    <row r="355" ht="18" customHeight="1">
      <c r="A355" s="20" t="n"/>
      <c r="B355" s="21" t="n"/>
      <c r="C355" s="22" t="n"/>
      <c r="D355" s="21" t="n"/>
      <c r="E355" s="21" t="n"/>
      <c r="F355" s="21" t="n"/>
      <c r="G355" s="21" t="n"/>
      <c r="H355" s="21" t="n"/>
      <c r="I355" s="21" t="n"/>
      <c r="J355" s="23">
        <f>IF($A355="","",TEXT($A355,"yyyy-mm"))</f>
        <v/>
      </c>
    </row>
    <row r="356" ht="18" customHeight="1">
      <c r="A356" s="20" t="n"/>
      <c r="B356" s="21" t="n"/>
      <c r="C356" s="22" t="n"/>
      <c r="D356" s="21" t="n"/>
      <c r="E356" s="21" t="n"/>
      <c r="F356" s="21" t="n"/>
      <c r="G356" s="21" t="n"/>
      <c r="H356" s="21" t="n"/>
      <c r="I356" s="21" t="n"/>
      <c r="J356" s="23">
        <f>IF($A356="","",TEXT($A356,"yyyy-mm"))</f>
        <v/>
      </c>
    </row>
    <row r="357" ht="18" customHeight="1">
      <c r="A357" s="20" t="n"/>
      <c r="B357" s="21" t="n"/>
      <c r="C357" s="22" t="n"/>
      <c r="D357" s="21" t="n"/>
      <c r="E357" s="21" t="n"/>
      <c r="F357" s="21" t="n"/>
      <c r="G357" s="21" t="n"/>
      <c r="H357" s="21" t="n"/>
      <c r="I357" s="21" t="n"/>
      <c r="J357" s="23">
        <f>IF($A357="","",TEXT($A357,"yyyy-mm"))</f>
        <v/>
      </c>
    </row>
    <row r="358" ht="18" customHeight="1">
      <c r="A358" s="20" t="n"/>
      <c r="B358" s="21" t="n"/>
      <c r="C358" s="22" t="n"/>
      <c r="D358" s="21" t="n"/>
      <c r="E358" s="21" t="n"/>
      <c r="F358" s="21" t="n"/>
      <c r="G358" s="21" t="n"/>
      <c r="H358" s="21" t="n"/>
      <c r="I358" s="21" t="n"/>
      <c r="J358" s="23">
        <f>IF($A358="","",TEXT($A358,"yyyy-mm"))</f>
        <v/>
      </c>
    </row>
    <row r="359" ht="18" customHeight="1">
      <c r="A359" s="20" t="n"/>
      <c r="B359" s="21" t="n"/>
      <c r="C359" s="22" t="n"/>
      <c r="D359" s="21" t="n"/>
      <c r="E359" s="21" t="n"/>
      <c r="F359" s="21" t="n"/>
      <c r="G359" s="21" t="n"/>
      <c r="H359" s="21" t="n"/>
      <c r="I359" s="21" t="n"/>
      <c r="J359" s="23">
        <f>IF($A359="","",TEXT($A359,"yyyy-mm"))</f>
        <v/>
      </c>
    </row>
    <row r="360" ht="18" customHeight="1">
      <c r="A360" s="20" t="n"/>
      <c r="B360" s="21" t="n"/>
      <c r="C360" s="22" t="n"/>
      <c r="D360" s="21" t="n"/>
      <c r="E360" s="21" t="n"/>
      <c r="F360" s="21" t="n"/>
      <c r="G360" s="21" t="n"/>
      <c r="H360" s="21" t="n"/>
      <c r="I360" s="21" t="n"/>
      <c r="J360" s="23">
        <f>IF($A360="","",TEXT($A360,"yyyy-mm"))</f>
        <v/>
      </c>
    </row>
    <row r="361" ht="18" customHeight="1">
      <c r="A361" s="20" t="n"/>
      <c r="B361" s="21" t="n"/>
      <c r="C361" s="22" t="n"/>
      <c r="D361" s="21" t="n"/>
      <c r="E361" s="21" t="n"/>
      <c r="F361" s="21" t="n"/>
      <c r="G361" s="21" t="n"/>
      <c r="H361" s="21" t="n"/>
      <c r="I361" s="21" t="n"/>
      <c r="J361" s="23">
        <f>IF($A361="","",TEXT($A361,"yyyy-mm"))</f>
        <v/>
      </c>
    </row>
    <row r="362" ht="18" customHeight="1">
      <c r="A362" s="20" t="n"/>
      <c r="B362" s="21" t="n"/>
      <c r="C362" s="22" t="n"/>
      <c r="D362" s="21" t="n"/>
      <c r="E362" s="21" t="n"/>
      <c r="F362" s="21" t="n"/>
      <c r="G362" s="21" t="n"/>
      <c r="H362" s="21" t="n"/>
      <c r="I362" s="21" t="n"/>
      <c r="J362" s="23">
        <f>IF($A362="","",TEXT($A362,"yyyy-mm"))</f>
        <v/>
      </c>
    </row>
    <row r="363" ht="18" customHeight="1">
      <c r="A363" s="20" t="n"/>
      <c r="B363" s="21" t="n"/>
      <c r="C363" s="22" t="n"/>
      <c r="D363" s="21" t="n"/>
      <c r="E363" s="21" t="n"/>
      <c r="F363" s="21" t="n"/>
      <c r="G363" s="21" t="n"/>
      <c r="H363" s="21" t="n"/>
      <c r="I363" s="21" t="n"/>
      <c r="J363" s="23">
        <f>IF($A363="","",TEXT($A363,"yyyy-mm"))</f>
        <v/>
      </c>
    </row>
    <row r="364" ht="18" customHeight="1">
      <c r="A364" s="20" t="n"/>
      <c r="B364" s="21" t="n"/>
      <c r="C364" s="22" t="n"/>
      <c r="D364" s="21" t="n"/>
      <c r="E364" s="21" t="n"/>
      <c r="F364" s="21" t="n"/>
      <c r="G364" s="21" t="n"/>
      <c r="H364" s="21" t="n"/>
      <c r="I364" s="21" t="n"/>
      <c r="J364" s="23">
        <f>IF($A364="","",TEXT($A364,"yyyy-mm"))</f>
        <v/>
      </c>
    </row>
    <row r="365" ht="18" customHeight="1">
      <c r="A365" s="20" t="n"/>
      <c r="B365" s="21" t="n"/>
      <c r="C365" s="22" t="n"/>
      <c r="D365" s="21" t="n"/>
      <c r="E365" s="21" t="n"/>
      <c r="F365" s="21" t="n"/>
      <c r="G365" s="21" t="n"/>
      <c r="H365" s="21" t="n"/>
      <c r="I365" s="21" t="n"/>
      <c r="J365" s="23">
        <f>IF($A365="","",TEXT($A365,"yyyy-mm"))</f>
        <v/>
      </c>
    </row>
    <row r="366" ht="18" customHeight="1">
      <c r="A366" s="20" t="n"/>
      <c r="B366" s="21" t="n"/>
      <c r="C366" s="22" t="n"/>
      <c r="D366" s="21" t="n"/>
      <c r="E366" s="21" t="n"/>
      <c r="F366" s="21" t="n"/>
      <c r="G366" s="21" t="n"/>
      <c r="H366" s="21" t="n"/>
      <c r="I366" s="21" t="n"/>
      <c r="J366" s="23">
        <f>IF($A366="","",TEXT($A366,"yyyy-mm"))</f>
        <v/>
      </c>
    </row>
    <row r="367" ht="18" customHeight="1">
      <c r="A367" s="20" t="n"/>
      <c r="B367" s="21" t="n"/>
      <c r="C367" s="22" t="n"/>
      <c r="D367" s="21" t="n"/>
      <c r="E367" s="21" t="n"/>
      <c r="F367" s="21" t="n"/>
      <c r="G367" s="21" t="n"/>
      <c r="H367" s="21" t="n"/>
      <c r="I367" s="21" t="n"/>
      <c r="J367" s="23">
        <f>IF($A367="","",TEXT($A367,"yyyy-mm"))</f>
        <v/>
      </c>
    </row>
    <row r="368" ht="18" customHeight="1">
      <c r="A368" s="20" t="n"/>
      <c r="B368" s="21" t="n"/>
      <c r="C368" s="22" t="n"/>
      <c r="D368" s="21" t="n"/>
      <c r="E368" s="21" t="n"/>
      <c r="F368" s="21" t="n"/>
      <c r="G368" s="21" t="n"/>
      <c r="H368" s="21" t="n"/>
      <c r="I368" s="21" t="n"/>
      <c r="J368" s="23">
        <f>IF($A368="","",TEXT($A368,"yyyy-mm"))</f>
        <v/>
      </c>
    </row>
    <row r="369" ht="18" customHeight="1">
      <c r="A369" s="20" t="n"/>
      <c r="B369" s="21" t="n"/>
      <c r="C369" s="22" t="n"/>
      <c r="D369" s="21" t="n"/>
      <c r="E369" s="21" t="n"/>
      <c r="F369" s="21" t="n"/>
      <c r="G369" s="21" t="n"/>
      <c r="H369" s="21" t="n"/>
      <c r="I369" s="21" t="n"/>
      <c r="J369" s="23">
        <f>IF($A369="","",TEXT($A369,"yyyy-mm"))</f>
        <v/>
      </c>
    </row>
    <row r="370" ht="18" customHeight="1">
      <c r="A370" s="20" t="n"/>
      <c r="B370" s="21" t="n"/>
      <c r="C370" s="22" t="n"/>
      <c r="D370" s="21" t="n"/>
      <c r="E370" s="21" t="n"/>
      <c r="F370" s="21" t="n"/>
      <c r="G370" s="21" t="n"/>
      <c r="H370" s="21" t="n"/>
      <c r="I370" s="21" t="n"/>
      <c r="J370" s="23">
        <f>IF($A370="","",TEXT($A370,"yyyy-mm"))</f>
        <v/>
      </c>
    </row>
    <row r="371" ht="18" customHeight="1">
      <c r="A371" s="20" t="n"/>
      <c r="B371" s="21" t="n"/>
      <c r="C371" s="22" t="n"/>
      <c r="D371" s="21" t="n"/>
      <c r="E371" s="21" t="n"/>
      <c r="F371" s="21" t="n"/>
      <c r="G371" s="21" t="n"/>
      <c r="H371" s="21" t="n"/>
      <c r="I371" s="21" t="n"/>
      <c r="J371" s="23">
        <f>IF($A371="","",TEXT($A371,"yyyy-mm"))</f>
        <v/>
      </c>
    </row>
    <row r="372" ht="18" customHeight="1">
      <c r="A372" s="20" t="n"/>
      <c r="B372" s="21" t="n"/>
      <c r="C372" s="22" t="n"/>
      <c r="D372" s="21" t="n"/>
      <c r="E372" s="21" t="n"/>
      <c r="F372" s="21" t="n"/>
      <c r="G372" s="21" t="n"/>
      <c r="H372" s="21" t="n"/>
      <c r="I372" s="21" t="n"/>
      <c r="J372" s="23">
        <f>IF($A372="","",TEXT($A372,"yyyy-mm"))</f>
        <v/>
      </c>
    </row>
    <row r="373" ht="18" customHeight="1">
      <c r="A373" s="20" t="n"/>
      <c r="B373" s="21" t="n"/>
      <c r="C373" s="22" t="n"/>
      <c r="D373" s="21" t="n"/>
      <c r="E373" s="21" t="n"/>
      <c r="F373" s="21" t="n"/>
      <c r="G373" s="21" t="n"/>
      <c r="H373" s="21" t="n"/>
      <c r="I373" s="21" t="n"/>
      <c r="J373" s="23">
        <f>IF($A373="","",TEXT($A373,"yyyy-mm"))</f>
        <v/>
      </c>
    </row>
    <row r="374" ht="18" customHeight="1">
      <c r="A374" s="20" t="n"/>
      <c r="B374" s="21" t="n"/>
      <c r="C374" s="22" t="n"/>
      <c r="D374" s="21" t="n"/>
      <c r="E374" s="21" t="n"/>
      <c r="F374" s="21" t="n"/>
      <c r="G374" s="21" t="n"/>
      <c r="H374" s="21" t="n"/>
      <c r="I374" s="21" t="n"/>
      <c r="J374" s="23">
        <f>IF($A374="","",TEXT($A374,"yyyy-mm"))</f>
        <v/>
      </c>
    </row>
    <row r="375" ht="18" customHeight="1">
      <c r="A375" s="20" t="n"/>
      <c r="B375" s="21" t="n"/>
      <c r="C375" s="22" t="n"/>
      <c r="D375" s="21" t="n"/>
      <c r="E375" s="21" t="n"/>
      <c r="F375" s="21" t="n"/>
      <c r="G375" s="21" t="n"/>
      <c r="H375" s="21" t="n"/>
      <c r="I375" s="21" t="n"/>
      <c r="J375" s="23">
        <f>IF($A375="","",TEXT($A375,"yyyy-mm"))</f>
        <v/>
      </c>
    </row>
    <row r="376" ht="18" customHeight="1">
      <c r="A376" s="20" t="n"/>
      <c r="B376" s="21" t="n"/>
      <c r="C376" s="22" t="n"/>
      <c r="D376" s="21" t="n"/>
      <c r="E376" s="21" t="n"/>
      <c r="F376" s="21" t="n"/>
      <c r="G376" s="21" t="n"/>
      <c r="H376" s="21" t="n"/>
      <c r="I376" s="21" t="n"/>
      <c r="J376" s="23">
        <f>IF($A376="","",TEXT($A376,"yyyy-mm"))</f>
        <v/>
      </c>
    </row>
    <row r="377" ht="18" customHeight="1">
      <c r="A377" s="20" t="n"/>
      <c r="B377" s="21" t="n"/>
      <c r="C377" s="22" t="n"/>
      <c r="D377" s="21" t="n"/>
      <c r="E377" s="21" t="n"/>
      <c r="F377" s="21" t="n"/>
      <c r="G377" s="21" t="n"/>
      <c r="H377" s="21" t="n"/>
      <c r="I377" s="21" t="n"/>
      <c r="J377" s="23">
        <f>IF($A377="","",TEXT($A377,"yyyy-mm"))</f>
        <v/>
      </c>
    </row>
    <row r="378" ht="18" customHeight="1">
      <c r="A378" s="20" t="n"/>
      <c r="B378" s="21" t="n"/>
      <c r="C378" s="22" t="n"/>
      <c r="D378" s="21" t="n"/>
      <c r="E378" s="21" t="n"/>
      <c r="F378" s="21" t="n"/>
      <c r="G378" s="21" t="n"/>
      <c r="H378" s="21" t="n"/>
      <c r="I378" s="21" t="n"/>
      <c r="J378" s="23">
        <f>IF($A378="","",TEXT($A378,"yyyy-mm"))</f>
        <v/>
      </c>
    </row>
    <row r="379" ht="18" customHeight="1">
      <c r="A379" s="20" t="n"/>
      <c r="B379" s="21" t="n"/>
      <c r="C379" s="22" t="n"/>
      <c r="D379" s="21" t="n"/>
      <c r="E379" s="21" t="n"/>
      <c r="F379" s="21" t="n"/>
      <c r="G379" s="21" t="n"/>
      <c r="H379" s="21" t="n"/>
      <c r="I379" s="21" t="n"/>
      <c r="J379" s="23">
        <f>IF($A379="","",TEXT($A379,"yyyy-mm"))</f>
        <v/>
      </c>
    </row>
    <row r="380" ht="18" customHeight="1">
      <c r="A380" s="20" t="n"/>
      <c r="B380" s="21" t="n"/>
      <c r="C380" s="22" t="n"/>
      <c r="D380" s="21" t="n"/>
      <c r="E380" s="21" t="n"/>
      <c r="F380" s="21" t="n"/>
      <c r="G380" s="21" t="n"/>
      <c r="H380" s="21" t="n"/>
      <c r="I380" s="21" t="n"/>
      <c r="J380" s="23">
        <f>IF($A380="","",TEXT($A380,"yyyy-mm"))</f>
        <v/>
      </c>
    </row>
    <row r="381" ht="18" customHeight="1">
      <c r="A381" s="20" t="n"/>
      <c r="B381" s="21" t="n"/>
      <c r="C381" s="22" t="n"/>
      <c r="D381" s="21" t="n"/>
      <c r="E381" s="21" t="n"/>
      <c r="F381" s="21" t="n"/>
      <c r="G381" s="21" t="n"/>
      <c r="H381" s="21" t="n"/>
      <c r="I381" s="21" t="n"/>
      <c r="J381" s="23">
        <f>IF($A381="","",TEXT($A381,"yyyy-mm"))</f>
        <v/>
      </c>
    </row>
    <row r="382" ht="18" customHeight="1">
      <c r="A382" s="20" t="n"/>
      <c r="B382" s="21" t="n"/>
      <c r="C382" s="22" t="n"/>
      <c r="D382" s="21" t="n"/>
      <c r="E382" s="21" t="n"/>
      <c r="F382" s="21" t="n"/>
      <c r="G382" s="21" t="n"/>
      <c r="H382" s="21" t="n"/>
      <c r="I382" s="21" t="n"/>
      <c r="J382" s="23">
        <f>IF($A382="","",TEXT($A382,"yyyy-mm"))</f>
        <v/>
      </c>
    </row>
    <row r="383" ht="18" customHeight="1">
      <c r="A383" s="20" t="n"/>
      <c r="B383" s="21" t="n"/>
      <c r="C383" s="22" t="n"/>
      <c r="D383" s="21" t="n"/>
      <c r="E383" s="21" t="n"/>
      <c r="F383" s="21" t="n"/>
      <c r="G383" s="21" t="n"/>
      <c r="H383" s="21" t="n"/>
      <c r="I383" s="21" t="n"/>
      <c r="J383" s="23">
        <f>IF($A383="","",TEXT($A383,"yyyy-mm"))</f>
        <v/>
      </c>
    </row>
    <row r="384" ht="18" customHeight="1">
      <c r="A384" s="20" t="n"/>
      <c r="B384" s="21" t="n"/>
      <c r="C384" s="22" t="n"/>
      <c r="D384" s="21" t="n"/>
      <c r="E384" s="21" t="n"/>
      <c r="F384" s="21" t="n"/>
      <c r="G384" s="21" t="n"/>
      <c r="H384" s="21" t="n"/>
      <c r="I384" s="21" t="n"/>
      <c r="J384" s="23">
        <f>IF($A384="","",TEXT($A384,"yyyy-mm"))</f>
        <v/>
      </c>
    </row>
    <row r="385" ht="18" customHeight="1">
      <c r="A385" s="20" t="n"/>
      <c r="B385" s="21" t="n"/>
      <c r="C385" s="22" t="n"/>
      <c r="D385" s="21" t="n"/>
      <c r="E385" s="21" t="n"/>
      <c r="F385" s="21" t="n"/>
      <c r="G385" s="21" t="n"/>
      <c r="H385" s="21" t="n"/>
      <c r="I385" s="21" t="n"/>
      <c r="J385" s="23">
        <f>IF($A385="","",TEXT($A385,"yyyy-mm"))</f>
        <v/>
      </c>
    </row>
    <row r="386" ht="18" customHeight="1">
      <c r="A386" s="20" t="n"/>
      <c r="B386" s="21" t="n"/>
      <c r="C386" s="22" t="n"/>
      <c r="D386" s="21" t="n"/>
      <c r="E386" s="21" t="n"/>
      <c r="F386" s="21" t="n"/>
      <c r="G386" s="21" t="n"/>
      <c r="H386" s="21" t="n"/>
      <c r="I386" s="21" t="n"/>
      <c r="J386" s="23">
        <f>IF($A386="","",TEXT($A386,"yyyy-mm"))</f>
        <v/>
      </c>
    </row>
    <row r="387" ht="18" customHeight="1">
      <c r="A387" s="20" t="n"/>
      <c r="B387" s="21" t="n"/>
      <c r="C387" s="22" t="n"/>
      <c r="D387" s="21" t="n"/>
      <c r="E387" s="21" t="n"/>
      <c r="F387" s="21" t="n"/>
      <c r="G387" s="21" t="n"/>
      <c r="H387" s="21" t="n"/>
      <c r="I387" s="21" t="n"/>
      <c r="J387" s="23">
        <f>IF($A387="","",TEXT($A387,"yyyy-mm"))</f>
        <v/>
      </c>
    </row>
    <row r="388" ht="18" customHeight="1">
      <c r="A388" s="20" t="n"/>
      <c r="B388" s="21" t="n"/>
      <c r="C388" s="22" t="n"/>
      <c r="D388" s="21" t="n"/>
      <c r="E388" s="21" t="n"/>
      <c r="F388" s="21" t="n"/>
      <c r="G388" s="21" t="n"/>
      <c r="H388" s="21" t="n"/>
      <c r="I388" s="21" t="n"/>
      <c r="J388" s="23">
        <f>IF($A388="","",TEXT($A388,"yyyy-mm"))</f>
        <v/>
      </c>
    </row>
    <row r="389" ht="18" customHeight="1">
      <c r="A389" s="20" t="n"/>
      <c r="B389" s="21" t="n"/>
      <c r="C389" s="22" t="n"/>
      <c r="D389" s="21" t="n"/>
      <c r="E389" s="21" t="n"/>
      <c r="F389" s="21" t="n"/>
      <c r="G389" s="21" t="n"/>
      <c r="H389" s="21" t="n"/>
      <c r="I389" s="21" t="n"/>
      <c r="J389" s="23">
        <f>IF($A389="","",TEXT($A389,"yyyy-mm"))</f>
        <v/>
      </c>
    </row>
    <row r="390" ht="18" customHeight="1">
      <c r="A390" s="20" t="n"/>
      <c r="B390" s="21" t="n"/>
      <c r="C390" s="22" t="n"/>
      <c r="D390" s="21" t="n"/>
      <c r="E390" s="21" t="n"/>
      <c r="F390" s="21" t="n"/>
      <c r="G390" s="21" t="n"/>
      <c r="H390" s="21" t="n"/>
      <c r="I390" s="21" t="n"/>
      <c r="J390" s="23">
        <f>IF($A390="","",TEXT($A390,"yyyy-mm"))</f>
        <v/>
      </c>
    </row>
    <row r="391" ht="18" customHeight="1">
      <c r="A391" s="20" t="n"/>
      <c r="B391" s="21" t="n"/>
      <c r="C391" s="22" t="n"/>
      <c r="D391" s="21" t="n"/>
      <c r="E391" s="21" t="n"/>
      <c r="F391" s="21" t="n"/>
      <c r="G391" s="21" t="n"/>
      <c r="H391" s="21" t="n"/>
      <c r="I391" s="21" t="n"/>
      <c r="J391" s="23">
        <f>IF($A391="","",TEXT($A391,"yyyy-mm"))</f>
        <v/>
      </c>
    </row>
    <row r="392" ht="18" customHeight="1">
      <c r="A392" s="20" t="n"/>
      <c r="B392" s="21" t="n"/>
      <c r="C392" s="22" t="n"/>
      <c r="D392" s="21" t="n"/>
      <c r="E392" s="21" t="n"/>
      <c r="F392" s="21" t="n"/>
      <c r="G392" s="21" t="n"/>
      <c r="H392" s="21" t="n"/>
      <c r="I392" s="21" t="n"/>
      <c r="J392" s="23">
        <f>IF($A392="","",TEXT($A392,"yyyy-mm"))</f>
        <v/>
      </c>
    </row>
    <row r="393" ht="18" customHeight="1">
      <c r="A393" s="20" t="n"/>
      <c r="B393" s="21" t="n"/>
      <c r="C393" s="22" t="n"/>
      <c r="D393" s="21" t="n"/>
      <c r="E393" s="21" t="n"/>
      <c r="F393" s="21" t="n"/>
      <c r="G393" s="21" t="n"/>
      <c r="H393" s="21" t="n"/>
      <c r="I393" s="21" t="n"/>
      <c r="J393" s="23">
        <f>IF($A393="","",TEXT($A393,"yyyy-mm"))</f>
        <v/>
      </c>
    </row>
    <row r="394" ht="18" customHeight="1">
      <c r="A394" s="20" t="n"/>
      <c r="B394" s="21" t="n"/>
      <c r="C394" s="22" t="n"/>
      <c r="D394" s="21" t="n"/>
      <c r="E394" s="21" t="n"/>
      <c r="F394" s="21" t="n"/>
      <c r="G394" s="21" t="n"/>
      <c r="H394" s="21" t="n"/>
      <c r="I394" s="21" t="n"/>
      <c r="J394" s="23">
        <f>IF($A394="","",TEXT($A394,"yyyy-mm"))</f>
        <v/>
      </c>
    </row>
    <row r="395" ht="18" customHeight="1">
      <c r="A395" s="20" t="n"/>
      <c r="B395" s="21" t="n"/>
      <c r="C395" s="22" t="n"/>
      <c r="D395" s="21" t="n"/>
      <c r="E395" s="21" t="n"/>
      <c r="F395" s="21" t="n"/>
      <c r="G395" s="21" t="n"/>
      <c r="H395" s="21" t="n"/>
      <c r="I395" s="21" t="n"/>
      <c r="J395" s="23">
        <f>IF($A395="","",TEXT($A395,"yyyy-mm"))</f>
        <v/>
      </c>
    </row>
    <row r="396" ht="18" customHeight="1">
      <c r="A396" s="20" t="n"/>
      <c r="B396" s="21" t="n"/>
      <c r="C396" s="22" t="n"/>
      <c r="D396" s="21" t="n"/>
      <c r="E396" s="21" t="n"/>
      <c r="F396" s="21" t="n"/>
      <c r="G396" s="21" t="n"/>
      <c r="H396" s="21" t="n"/>
      <c r="I396" s="21" t="n"/>
      <c r="J396" s="23">
        <f>IF($A396="","",TEXT($A396,"yyyy-mm"))</f>
        <v/>
      </c>
    </row>
    <row r="397" ht="18" customHeight="1">
      <c r="A397" s="20" t="n"/>
      <c r="B397" s="21" t="n"/>
      <c r="C397" s="22" t="n"/>
      <c r="D397" s="21" t="n"/>
      <c r="E397" s="21" t="n"/>
      <c r="F397" s="21" t="n"/>
      <c r="G397" s="21" t="n"/>
      <c r="H397" s="21" t="n"/>
      <c r="I397" s="21" t="n"/>
      <c r="J397" s="23">
        <f>IF($A397="","",TEXT($A397,"yyyy-mm"))</f>
        <v/>
      </c>
    </row>
    <row r="398" ht="18" customHeight="1">
      <c r="A398" s="20" t="n"/>
      <c r="B398" s="21" t="n"/>
      <c r="C398" s="22" t="n"/>
      <c r="D398" s="21" t="n"/>
      <c r="E398" s="21" t="n"/>
      <c r="F398" s="21" t="n"/>
      <c r="G398" s="21" t="n"/>
      <c r="H398" s="21" t="n"/>
      <c r="I398" s="21" t="n"/>
      <c r="J398" s="23">
        <f>IF($A398="","",TEXT($A398,"yyyy-mm"))</f>
        <v/>
      </c>
    </row>
    <row r="399" ht="18" customHeight="1">
      <c r="A399" s="20" t="n"/>
      <c r="B399" s="21" t="n"/>
      <c r="C399" s="22" t="n"/>
      <c r="D399" s="21" t="n"/>
      <c r="E399" s="21" t="n"/>
      <c r="F399" s="21" t="n"/>
      <c r="G399" s="21" t="n"/>
      <c r="H399" s="21" t="n"/>
      <c r="I399" s="21" t="n"/>
      <c r="J399" s="23">
        <f>IF($A399="","",TEXT($A399,"yyyy-mm"))</f>
        <v/>
      </c>
    </row>
    <row r="400" ht="18" customHeight="1">
      <c r="A400" s="20" t="n"/>
      <c r="B400" s="21" t="n"/>
      <c r="C400" s="22" t="n"/>
      <c r="D400" s="21" t="n"/>
      <c r="E400" s="21" t="n"/>
      <c r="F400" s="21" t="n"/>
      <c r="G400" s="21" t="n"/>
      <c r="H400" s="21" t="n"/>
      <c r="I400" s="21" t="n"/>
      <c r="J400" s="23">
        <f>IF($A400="","",TEXT($A400,"yyyy-mm"))</f>
        <v/>
      </c>
    </row>
    <row r="401" ht="18" customHeight="1">
      <c r="A401" s="20" t="n"/>
      <c r="B401" s="21" t="n"/>
      <c r="C401" s="22" t="n"/>
      <c r="D401" s="21" t="n"/>
      <c r="E401" s="21" t="n"/>
      <c r="F401" s="21" t="n"/>
      <c r="G401" s="21" t="n"/>
      <c r="H401" s="21" t="n"/>
      <c r="I401" s="21" t="n"/>
      <c r="J401" s="23">
        <f>IF($A401="","",TEXT($A401,"yyyy-mm"))</f>
        <v/>
      </c>
    </row>
    <row r="402" ht="18" customHeight="1">
      <c r="A402" s="20" t="n"/>
      <c r="B402" s="21" t="n"/>
      <c r="C402" s="22" t="n"/>
      <c r="D402" s="21" t="n"/>
      <c r="E402" s="21" t="n"/>
      <c r="F402" s="21" t="n"/>
      <c r="G402" s="21" t="n"/>
      <c r="H402" s="21" t="n"/>
      <c r="I402" s="21" t="n"/>
      <c r="J402" s="23">
        <f>IF($A402="","",TEXT($A402,"yyyy-mm"))</f>
        <v/>
      </c>
    </row>
    <row r="403" ht="18" customHeight="1">
      <c r="A403" s="20" t="n"/>
      <c r="B403" s="21" t="n"/>
      <c r="C403" s="22" t="n"/>
      <c r="D403" s="21" t="n"/>
      <c r="E403" s="21" t="n"/>
      <c r="F403" s="21" t="n"/>
      <c r="G403" s="21" t="n"/>
      <c r="H403" s="21" t="n"/>
      <c r="I403" s="21" t="n"/>
      <c r="J403" s="23">
        <f>IF($A403="","",TEXT($A403,"yyyy-mm"))</f>
        <v/>
      </c>
    </row>
    <row r="404" ht="18" customHeight="1">
      <c r="A404" s="20" t="n"/>
      <c r="B404" s="21" t="n"/>
      <c r="C404" s="22" t="n"/>
      <c r="D404" s="21" t="n"/>
      <c r="E404" s="21" t="n"/>
      <c r="F404" s="21" t="n"/>
      <c r="G404" s="21" t="n"/>
      <c r="H404" s="21" t="n"/>
      <c r="I404" s="21" t="n"/>
      <c r="J404" s="23">
        <f>IF($A404="","",TEXT($A404,"yyyy-mm"))</f>
        <v/>
      </c>
    </row>
    <row r="405" ht="18" customHeight="1">
      <c r="A405" s="20" t="n"/>
      <c r="B405" s="21" t="n"/>
      <c r="C405" s="22" t="n"/>
      <c r="D405" s="21" t="n"/>
      <c r="E405" s="21" t="n"/>
      <c r="F405" s="21" t="n"/>
      <c r="G405" s="21" t="n"/>
      <c r="H405" s="21" t="n"/>
      <c r="I405" s="21" t="n"/>
      <c r="J405" s="23">
        <f>IF($A405="","",TEXT($A405,"yyyy-mm"))</f>
        <v/>
      </c>
    </row>
    <row r="406" ht="18" customHeight="1">
      <c r="A406" s="20" t="n"/>
      <c r="B406" s="21" t="n"/>
      <c r="C406" s="22" t="n"/>
      <c r="D406" s="21" t="n"/>
      <c r="E406" s="21" t="n"/>
      <c r="F406" s="21" t="n"/>
      <c r="G406" s="21" t="n"/>
      <c r="H406" s="21" t="n"/>
      <c r="I406" s="21" t="n"/>
      <c r="J406" s="23">
        <f>IF($A406="","",TEXT($A406,"yyyy-mm"))</f>
        <v/>
      </c>
    </row>
    <row r="407" ht="18" customHeight="1">
      <c r="A407" s="20" t="n"/>
      <c r="B407" s="21" t="n"/>
      <c r="C407" s="22" t="n"/>
      <c r="D407" s="21" t="n"/>
      <c r="E407" s="21" t="n"/>
      <c r="F407" s="21" t="n"/>
      <c r="G407" s="21" t="n"/>
      <c r="H407" s="21" t="n"/>
      <c r="I407" s="21" t="n"/>
      <c r="J407" s="23">
        <f>IF($A407="","",TEXT($A407,"yyyy-mm"))</f>
        <v/>
      </c>
    </row>
    <row r="408" ht="18" customHeight="1">
      <c r="A408" s="20" t="n"/>
      <c r="B408" s="21" t="n"/>
      <c r="C408" s="22" t="n"/>
      <c r="D408" s="21" t="n"/>
      <c r="E408" s="21" t="n"/>
      <c r="F408" s="21" t="n"/>
      <c r="G408" s="21" t="n"/>
      <c r="H408" s="21" t="n"/>
      <c r="I408" s="21" t="n"/>
      <c r="J408" s="23">
        <f>IF($A408="","",TEXT($A408,"yyyy-mm"))</f>
        <v/>
      </c>
    </row>
    <row r="409" ht="18" customHeight="1">
      <c r="A409" s="20" t="n"/>
      <c r="B409" s="21" t="n"/>
      <c r="C409" s="22" t="n"/>
      <c r="D409" s="21" t="n"/>
      <c r="E409" s="21" t="n"/>
      <c r="F409" s="21" t="n"/>
      <c r="G409" s="21" t="n"/>
      <c r="H409" s="21" t="n"/>
      <c r="I409" s="21" t="n"/>
      <c r="J409" s="23">
        <f>IF($A409="","",TEXT($A409,"yyyy-mm"))</f>
        <v/>
      </c>
    </row>
    <row r="410" ht="18" customHeight="1">
      <c r="A410" s="20" t="n"/>
      <c r="B410" s="21" t="n"/>
      <c r="C410" s="22" t="n"/>
      <c r="D410" s="21" t="n"/>
      <c r="E410" s="21" t="n"/>
      <c r="F410" s="21" t="n"/>
      <c r="G410" s="21" t="n"/>
      <c r="H410" s="21" t="n"/>
      <c r="I410" s="21" t="n"/>
      <c r="J410" s="23">
        <f>IF($A410="","",TEXT($A410,"yyyy-mm"))</f>
        <v/>
      </c>
    </row>
    <row r="411" ht="18" customHeight="1">
      <c r="A411" s="20" t="n"/>
      <c r="B411" s="21" t="n"/>
      <c r="C411" s="22" t="n"/>
      <c r="D411" s="21" t="n"/>
      <c r="E411" s="21" t="n"/>
      <c r="F411" s="21" t="n"/>
      <c r="G411" s="21" t="n"/>
      <c r="H411" s="21" t="n"/>
      <c r="I411" s="21" t="n"/>
      <c r="J411" s="23">
        <f>IF($A411="","",TEXT($A411,"yyyy-mm"))</f>
        <v/>
      </c>
    </row>
    <row r="412" ht="18" customHeight="1">
      <c r="A412" s="20" t="n"/>
      <c r="B412" s="21" t="n"/>
      <c r="C412" s="22" t="n"/>
      <c r="D412" s="21" t="n"/>
      <c r="E412" s="21" t="n"/>
      <c r="F412" s="21" t="n"/>
      <c r="G412" s="21" t="n"/>
      <c r="H412" s="21" t="n"/>
      <c r="I412" s="21" t="n"/>
      <c r="J412" s="23">
        <f>IF($A412="","",TEXT($A412,"yyyy-mm"))</f>
        <v/>
      </c>
    </row>
    <row r="413" ht="18" customHeight="1">
      <c r="A413" s="20" t="n"/>
      <c r="B413" s="21" t="n"/>
      <c r="C413" s="22" t="n"/>
      <c r="D413" s="21" t="n"/>
      <c r="E413" s="21" t="n"/>
      <c r="F413" s="21" t="n"/>
      <c r="G413" s="21" t="n"/>
      <c r="H413" s="21" t="n"/>
      <c r="I413" s="21" t="n"/>
      <c r="J413" s="23">
        <f>IF($A413="","",TEXT($A413,"yyyy-mm"))</f>
        <v/>
      </c>
    </row>
    <row r="414" ht="18" customHeight="1">
      <c r="A414" s="20" t="n"/>
      <c r="B414" s="21" t="n"/>
      <c r="C414" s="22" t="n"/>
      <c r="D414" s="21" t="n"/>
      <c r="E414" s="21" t="n"/>
      <c r="F414" s="21" t="n"/>
      <c r="G414" s="21" t="n"/>
      <c r="H414" s="21" t="n"/>
      <c r="I414" s="21" t="n"/>
      <c r="J414" s="23">
        <f>IF($A414="","",TEXT($A414,"yyyy-mm"))</f>
        <v/>
      </c>
    </row>
    <row r="415" ht="18" customHeight="1">
      <c r="A415" s="20" t="n"/>
      <c r="B415" s="21" t="n"/>
      <c r="C415" s="22" t="n"/>
      <c r="D415" s="21" t="n"/>
      <c r="E415" s="21" t="n"/>
      <c r="F415" s="21" t="n"/>
      <c r="G415" s="21" t="n"/>
      <c r="H415" s="21" t="n"/>
      <c r="I415" s="21" t="n"/>
      <c r="J415" s="23">
        <f>IF($A415="","",TEXT($A415,"yyyy-mm"))</f>
        <v/>
      </c>
    </row>
    <row r="416" ht="18" customHeight="1">
      <c r="A416" s="20" t="n"/>
      <c r="B416" s="21" t="n"/>
      <c r="C416" s="22" t="n"/>
      <c r="D416" s="21" t="n"/>
      <c r="E416" s="21" t="n"/>
      <c r="F416" s="21" t="n"/>
      <c r="G416" s="21" t="n"/>
      <c r="H416" s="21" t="n"/>
      <c r="I416" s="21" t="n"/>
      <c r="J416" s="23">
        <f>IF($A416="","",TEXT($A416,"yyyy-mm"))</f>
        <v/>
      </c>
    </row>
    <row r="417" ht="18" customHeight="1">
      <c r="A417" s="20" t="n"/>
      <c r="B417" s="21" t="n"/>
      <c r="C417" s="22" t="n"/>
      <c r="D417" s="21" t="n"/>
      <c r="E417" s="21" t="n"/>
      <c r="F417" s="21" t="n"/>
      <c r="G417" s="21" t="n"/>
      <c r="H417" s="21" t="n"/>
      <c r="I417" s="21" t="n"/>
      <c r="J417" s="23">
        <f>IF($A417="","",TEXT($A417,"yyyy-mm"))</f>
        <v/>
      </c>
    </row>
    <row r="418" ht="18" customHeight="1">
      <c r="A418" s="20" t="n"/>
      <c r="B418" s="21" t="n"/>
      <c r="C418" s="22" t="n"/>
      <c r="D418" s="21" t="n"/>
      <c r="E418" s="21" t="n"/>
      <c r="F418" s="21" t="n"/>
      <c r="G418" s="21" t="n"/>
      <c r="H418" s="21" t="n"/>
      <c r="I418" s="21" t="n"/>
      <c r="J418" s="23">
        <f>IF($A418="","",TEXT($A418,"yyyy-mm"))</f>
        <v/>
      </c>
    </row>
    <row r="419" ht="18" customHeight="1">
      <c r="A419" s="20" t="n"/>
      <c r="B419" s="21" t="n"/>
      <c r="C419" s="22" t="n"/>
      <c r="D419" s="21" t="n"/>
      <c r="E419" s="21" t="n"/>
      <c r="F419" s="21" t="n"/>
      <c r="G419" s="21" t="n"/>
      <c r="H419" s="21" t="n"/>
      <c r="I419" s="21" t="n"/>
      <c r="J419" s="23">
        <f>IF($A419="","",TEXT($A419,"yyyy-mm"))</f>
        <v/>
      </c>
    </row>
    <row r="420" ht="18" customHeight="1">
      <c r="A420" s="20" t="n"/>
      <c r="B420" s="21" t="n"/>
      <c r="C420" s="22" t="n"/>
      <c r="D420" s="21" t="n"/>
      <c r="E420" s="21" t="n"/>
      <c r="F420" s="21" t="n"/>
      <c r="G420" s="21" t="n"/>
      <c r="H420" s="21" t="n"/>
      <c r="I420" s="21" t="n"/>
      <c r="J420" s="23">
        <f>IF($A420="","",TEXT($A420,"yyyy-mm"))</f>
        <v/>
      </c>
    </row>
    <row r="421" ht="18" customHeight="1">
      <c r="A421" s="20" t="n"/>
      <c r="B421" s="21" t="n"/>
      <c r="C421" s="22" t="n"/>
      <c r="D421" s="21" t="n"/>
      <c r="E421" s="21" t="n"/>
      <c r="F421" s="21" t="n"/>
      <c r="G421" s="21" t="n"/>
      <c r="H421" s="21" t="n"/>
      <c r="I421" s="21" t="n"/>
      <c r="J421" s="23">
        <f>IF($A421="","",TEXT($A421,"yyyy-mm"))</f>
        <v/>
      </c>
    </row>
    <row r="422" ht="18" customHeight="1">
      <c r="A422" s="20" t="n"/>
      <c r="B422" s="21" t="n"/>
      <c r="C422" s="22" t="n"/>
      <c r="D422" s="21" t="n"/>
      <c r="E422" s="21" t="n"/>
      <c r="F422" s="21" t="n"/>
      <c r="G422" s="21" t="n"/>
      <c r="H422" s="21" t="n"/>
      <c r="I422" s="21" t="n"/>
      <c r="J422" s="23">
        <f>IF($A422="","",TEXT($A422,"yyyy-mm"))</f>
        <v/>
      </c>
    </row>
    <row r="423" ht="18" customHeight="1">
      <c r="A423" s="20" t="n"/>
      <c r="B423" s="21" t="n"/>
      <c r="C423" s="22" t="n"/>
      <c r="D423" s="21" t="n"/>
      <c r="E423" s="21" t="n"/>
      <c r="F423" s="21" t="n"/>
      <c r="G423" s="21" t="n"/>
      <c r="H423" s="21" t="n"/>
      <c r="I423" s="21" t="n"/>
      <c r="J423" s="23">
        <f>IF($A423="","",TEXT($A423,"yyyy-mm"))</f>
        <v/>
      </c>
    </row>
    <row r="424" ht="18" customHeight="1">
      <c r="A424" s="20" t="n"/>
      <c r="B424" s="21" t="n"/>
      <c r="C424" s="22" t="n"/>
      <c r="D424" s="21" t="n"/>
      <c r="E424" s="21" t="n"/>
      <c r="F424" s="21" t="n"/>
      <c r="G424" s="21" t="n"/>
      <c r="H424" s="21" t="n"/>
      <c r="I424" s="21" t="n"/>
      <c r="J424" s="23">
        <f>IF($A424="","",TEXT($A424,"yyyy-mm"))</f>
        <v/>
      </c>
    </row>
    <row r="425" ht="18" customHeight="1">
      <c r="A425" s="20" t="n"/>
      <c r="B425" s="21" t="n"/>
      <c r="C425" s="22" t="n"/>
      <c r="D425" s="21" t="n"/>
      <c r="E425" s="21" t="n"/>
      <c r="F425" s="21" t="n"/>
      <c r="G425" s="21" t="n"/>
      <c r="H425" s="21" t="n"/>
      <c r="I425" s="21" t="n"/>
      <c r="J425" s="23">
        <f>IF($A425="","",TEXT($A425,"yyyy-mm"))</f>
        <v/>
      </c>
    </row>
    <row r="426" ht="18" customHeight="1">
      <c r="A426" s="20" t="n"/>
      <c r="B426" s="21" t="n"/>
      <c r="C426" s="22" t="n"/>
      <c r="D426" s="21" t="n"/>
      <c r="E426" s="21" t="n"/>
      <c r="F426" s="21" t="n"/>
      <c r="G426" s="21" t="n"/>
      <c r="H426" s="21" t="n"/>
      <c r="I426" s="21" t="n"/>
      <c r="J426" s="23">
        <f>IF($A426="","",TEXT($A426,"yyyy-mm"))</f>
        <v/>
      </c>
    </row>
    <row r="427" ht="18" customHeight="1">
      <c r="A427" s="20" t="n"/>
      <c r="B427" s="21" t="n"/>
      <c r="C427" s="22" t="n"/>
      <c r="D427" s="21" t="n"/>
      <c r="E427" s="21" t="n"/>
      <c r="F427" s="21" t="n"/>
      <c r="G427" s="21" t="n"/>
      <c r="H427" s="21" t="n"/>
      <c r="I427" s="21" t="n"/>
      <c r="J427" s="23">
        <f>IF($A427="","",TEXT($A427,"yyyy-mm"))</f>
        <v/>
      </c>
    </row>
    <row r="428" ht="18" customHeight="1">
      <c r="A428" s="20" t="n"/>
      <c r="B428" s="21" t="n"/>
      <c r="C428" s="22" t="n"/>
      <c r="D428" s="21" t="n"/>
      <c r="E428" s="21" t="n"/>
      <c r="F428" s="21" t="n"/>
      <c r="G428" s="21" t="n"/>
      <c r="H428" s="21" t="n"/>
      <c r="I428" s="21" t="n"/>
      <c r="J428" s="23">
        <f>IF($A428="","",TEXT($A428,"yyyy-mm"))</f>
        <v/>
      </c>
    </row>
    <row r="429" ht="18" customHeight="1">
      <c r="A429" s="20" t="n"/>
      <c r="B429" s="21" t="n"/>
      <c r="C429" s="22" t="n"/>
      <c r="D429" s="21" t="n"/>
      <c r="E429" s="21" t="n"/>
      <c r="F429" s="21" t="n"/>
      <c r="G429" s="21" t="n"/>
      <c r="H429" s="21" t="n"/>
      <c r="I429" s="21" t="n"/>
      <c r="J429" s="23">
        <f>IF($A429="","",TEXT($A429,"yyyy-mm"))</f>
        <v/>
      </c>
    </row>
    <row r="430" ht="18" customHeight="1">
      <c r="A430" s="20" t="n"/>
      <c r="B430" s="21" t="n"/>
      <c r="C430" s="22" t="n"/>
      <c r="D430" s="21" t="n"/>
      <c r="E430" s="21" t="n"/>
      <c r="F430" s="21" t="n"/>
      <c r="G430" s="21" t="n"/>
      <c r="H430" s="21" t="n"/>
      <c r="I430" s="21" t="n"/>
      <c r="J430" s="23">
        <f>IF($A430="","",TEXT($A430,"yyyy-mm"))</f>
        <v/>
      </c>
    </row>
    <row r="431" ht="18" customHeight="1">
      <c r="A431" s="20" t="n"/>
      <c r="B431" s="21" t="n"/>
      <c r="C431" s="22" t="n"/>
      <c r="D431" s="21" t="n"/>
      <c r="E431" s="21" t="n"/>
      <c r="F431" s="21" t="n"/>
      <c r="G431" s="21" t="n"/>
      <c r="H431" s="21" t="n"/>
      <c r="I431" s="21" t="n"/>
      <c r="J431" s="23">
        <f>IF($A431="","",TEXT($A431,"yyyy-mm"))</f>
        <v/>
      </c>
    </row>
    <row r="432" ht="18" customHeight="1">
      <c r="A432" s="20" t="n"/>
      <c r="B432" s="21" t="n"/>
      <c r="C432" s="22" t="n"/>
      <c r="D432" s="21" t="n"/>
      <c r="E432" s="21" t="n"/>
      <c r="F432" s="21" t="n"/>
      <c r="G432" s="21" t="n"/>
      <c r="H432" s="21" t="n"/>
      <c r="I432" s="21" t="n"/>
      <c r="J432" s="23">
        <f>IF($A432="","",TEXT($A432,"yyyy-mm"))</f>
        <v/>
      </c>
    </row>
    <row r="433" ht="18" customHeight="1">
      <c r="A433" s="20" t="n"/>
      <c r="B433" s="21" t="n"/>
      <c r="C433" s="22" t="n"/>
      <c r="D433" s="21" t="n"/>
      <c r="E433" s="21" t="n"/>
      <c r="F433" s="21" t="n"/>
      <c r="G433" s="21" t="n"/>
      <c r="H433" s="21" t="n"/>
      <c r="I433" s="21" t="n"/>
      <c r="J433" s="23">
        <f>IF($A433="","",TEXT($A433,"yyyy-mm"))</f>
        <v/>
      </c>
    </row>
    <row r="434" ht="18" customHeight="1">
      <c r="A434" s="20" t="n"/>
      <c r="B434" s="21" t="n"/>
      <c r="C434" s="22" t="n"/>
      <c r="D434" s="21" t="n"/>
      <c r="E434" s="21" t="n"/>
      <c r="F434" s="21" t="n"/>
      <c r="G434" s="21" t="n"/>
      <c r="H434" s="21" t="n"/>
      <c r="I434" s="21" t="n"/>
      <c r="J434" s="23">
        <f>IF($A434="","",TEXT($A434,"yyyy-mm"))</f>
        <v/>
      </c>
    </row>
    <row r="435" ht="18" customHeight="1">
      <c r="A435" s="20" t="n"/>
      <c r="B435" s="21" t="n"/>
      <c r="C435" s="22" t="n"/>
      <c r="D435" s="21" t="n"/>
      <c r="E435" s="21" t="n"/>
      <c r="F435" s="21" t="n"/>
      <c r="G435" s="21" t="n"/>
      <c r="H435" s="21" t="n"/>
      <c r="I435" s="21" t="n"/>
      <c r="J435" s="23">
        <f>IF($A435="","",TEXT($A435,"yyyy-mm"))</f>
        <v/>
      </c>
    </row>
    <row r="436" ht="18" customHeight="1">
      <c r="A436" s="20" t="n"/>
      <c r="B436" s="21" t="n"/>
      <c r="C436" s="22" t="n"/>
      <c r="D436" s="21" t="n"/>
      <c r="E436" s="21" t="n"/>
      <c r="F436" s="21" t="n"/>
      <c r="G436" s="21" t="n"/>
      <c r="H436" s="21" t="n"/>
      <c r="I436" s="21" t="n"/>
      <c r="J436" s="23">
        <f>IF($A436="","",TEXT($A436,"yyyy-mm"))</f>
        <v/>
      </c>
    </row>
    <row r="437" ht="18" customHeight="1">
      <c r="A437" s="20" t="n"/>
      <c r="B437" s="21" t="n"/>
      <c r="C437" s="22" t="n"/>
      <c r="D437" s="21" t="n"/>
      <c r="E437" s="21" t="n"/>
      <c r="F437" s="21" t="n"/>
      <c r="G437" s="21" t="n"/>
      <c r="H437" s="21" t="n"/>
      <c r="I437" s="21" t="n"/>
      <c r="J437" s="23">
        <f>IF($A437="","",TEXT($A437,"yyyy-mm"))</f>
        <v/>
      </c>
    </row>
    <row r="438" ht="18" customHeight="1">
      <c r="A438" s="20" t="n"/>
      <c r="B438" s="21" t="n"/>
      <c r="C438" s="22" t="n"/>
      <c r="D438" s="21" t="n"/>
      <c r="E438" s="21" t="n"/>
      <c r="F438" s="21" t="n"/>
      <c r="G438" s="21" t="n"/>
      <c r="H438" s="21" t="n"/>
      <c r="I438" s="21" t="n"/>
      <c r="J438" s="23">
        <f>IF($A438="","",TEXT($A438,"yyyy-mm"))</f>
        <v/>
      </c>
    </row>
    <row r="439" ht="18" customHeight="1">
      <c r="A439" s="20" t="n"/>
      <c r="B439" s="21" t="n"/>
      <c r="C439" s="22" t="n"/>
      <c r="D439" s="21" t="n"/>
      <c r="E439" s="21" t="n"/>
      <c r="F439" s="21" t="n"/>
      <c r="G439" s="21" t="n"/>
      <c r="H439" s="21" t="n"/>
      <c r="I439" s="21" t="n"/>
      <c r="J439" s="23">
        <f>IF($A439="","",TEXT($A439,"yyyy-mm"))</f>
        <v/>
      </c>
    </row>
    <row r="440" ht="18" customHeight="1">
      <c r="A440" s="20" t="n"/>
      <c r="B440" s="21" t="n"/>
      <c r="C440" s="22" t="n"/>
      <c r="D440" s="21" t="n"/>
      <c r="E440" s="21" t="n"/>
      <c r="F440" s="21" t="n"/>
      <c r="G440" s="21" t="n"/>
      <c r="H440" s="21" t="n"/>
      <c r="I440" s="21" t="n"/>
      <c r="J440" s="23">
        <f>IF($A440="","",TEXT($A440,"yyyy-mm"))</f>
        <v/>
      </c>
    </row>
    <row r="441" ht="18" customHeight="1">
      <c r="A441" s="20" t="n"/>
      <c r="B441" s="21" t="n"/>
      <c r="C441" s="22" t="n"/>
      <c r="D441" s="21" t="n"/>
      <c r="E441" s="21" t="n"/>
      <c r="F441" s="21" t="n"/>
      <c r="G441" s="21" t="n"/>
      <c r="H441" s="21" t="n"/>
      <c r="I441" s="21" t="n"/>
      <c r="J441" s="23">
        <f>IF($A441="","",TEXT($A441,"yyyy-mm"))</f>
        <v/>
      </c>
    </row>
    <row r="442" ht="18" customHeight="1">
      <c r="A442" s="20" t="n"/>
      <c r="B442" s="21" t="n"/>
      <c r="C442" s="22" t="n"/>
      <c r="D442" s="21" t="n"/>
      <c r="E442" s="21" t="n"/>
      <c r="F442" s="21" t="n"/>
      <c r="G442" s="21" t="n"/>
      <c r="H442" s="21" t="n"/>
      <c r="I442" s="21" t="n"/>
      <c r="J442" s="23">
        <f>IF($A442="","",TEXT($A442,"yyyy-mm"))</f>
        <v/>
      </c>
    </row>
    <row r="443" ht="18" customHeight="1">
      <c r="A443" s="20" t="n"/>
      <c r="B443" s="21" t="n"/>
      <c r="C443" s="22" t="n"/>
      <c r="D443" s="21" t="n"/>
      <c r="E443" s="21" t="n"/>
      <c r="F443" s="21" t="n"/>
      <c r="G443" s="21" t="n"/>
      <c r="H443" s="21" t="n"/>
      <c r="I443" s="21" t="n"/>
      <c r="J443" s="23">
        <f>IF($A443="","",TEXT($A443,"yyyy-mm"))</f>
        <v/>
      </c>
    </row>
    <row r="444" ht="18" customHeight="1">
      <c r="A444" s="20" t="n"/>
      <c r="B444" s="21" t="n"/>
      <c r="C444" s="22" t="n"/>
      <c r="D444" s="21" t="n"/>
      <c r="E444" s="21" t="n"/>
      <c r="F444" s="21" t="n"/>
      <c r="G444" s="21" t="n"/>
      <c r="H444" s="21" t="n"/>
      <c r="I444" s="21" t="n"/>
      <c r="J444" s="23">
        <f>IF($A444="","",TEXT($A444,"yyyy-mm"))</f>
        <v/>
      </c>
    </row>
    <row r="445" ht="18" customHeight="1">
      <c r="A445" s="20" t="n"/>
      <c r="B445" s="21" t="n"/>
      <c r="C445" s="22" t="n"/>
      <c r="D445" s="21" t="n"/>
      <c r="E445" s="21" t="n"/>
      <c r="F445" s="21" t="n"/>
      <c r="G445" s="21" t="n"/>
      <c r="H445" s="21" t="n"/>
      <c r="I445" s="21" t="n"/>
      <c r="J445" s="23">
        <f>IF($A445="","",TEXT($A445,"yyyy-mm"))</f>
        <v/>
      </c>
    </row>
    <row r="446" ht="18" customHeight="1">
      <c r="A446" s="20" t="n"/>
      <c r="B446" s="21" t="n"/>
      <c r="C446" s="22" t="n"/>
      <c r="D446" s="21" t="n"/>
      <c r="E446" s="21" t="n"/>
      <c r="F446" s="21" t="n"/>
      <c r="G446" s="21" t="n"/>
      <c r="H446" s="21" t="n"/>
      <c r="I446" s="21" t="n"/>
      <c r="J446" s="23">
        <f>IF($A446="","",TEXT($A446,"yyyy-mm"))</f>
        <v/>
      </c>
    </row>
    <row r="447" ht="18" customHeight="1">
      <c r="A447" s="20" t="n"/>
      <c r="B447" s="21" t="n"/>
      <c r="C447" s="22" t="n"/>
      <c r="D447" s="21" t="n"/>
      <c r="E447" s="21" t="n"/>
      <c r="F447" s="21" t="n"/>
      <c r="G447" s="21" t="n"/>
      <c r="H447" s="21" t="n"/>
      <c r="I447" s="21" t="n"/>
      <c r="J447" s="23">
        <f>IF($A447="","",TEXT($A447,"yyyy-mm"))</f>
        <v/>
      </c>
    </row>
    <row r="448" ht="18" customHeight="1">
      <c r="A448" s="20" t="n"/>
      <c r="B448" s="21" t="n"/>
      <c r="C448" s="22" t="n"/>
      <c r="D448" s="21" t="n"/>
      <c r="E448" s="21" t="n"/>
      <c r="F448" s="21" t="n"/>
      <c r="G448" s="21" t="n"/>
      <c r="H448" s="21" t="n"/>
      <c r="I448" s="21" t="n"/>
      <c r="J448" s="23">
        <f>IF($A448="","",TEXT($A448,"yyyy-mm"))</f>
        <v/>
      </c>
    </row>
    <row r="449" ht="18" customHeight="1">
      <c r="A449" s="20" t="n"/>
      <c r="B449" s="21" t="n"/>
      <c r="C449" s="22" t="n"/>
      <c r="D449" s="21" t="n"/>
      <c r="E449" s="21" t="n"/>
      <c r="F449" s="21" t="n"/>
      <c r="G449" s="21" t="n"/>
      <c r="H449" s="21" t="n"/>
      <c r="I449" s="21" t="n"/>
      <c r="J449" s="23">
        <f>IF($A449="","",TEXT($A449,"yyyy-mm"))</f>
        <v/>
      </c>
    </row>
    <row r="450" ht="18" customHeight="1">
      <c r="A450" s="20" t="n"/>
      <c r="B450" s="21" t="n"/>
      <c r="C450" s="22" t="n"/>
      <c r="D450" s="21" t="n"/>
      <c r="E450" s="21" t="n"/>
      <c r="F450" s="21" t="n"/>
      <c r="G450" s="21" t="n"/>
      <c r="H450" s="21" t="n"/>
      <c r="I450" s="21" t="n"/>
      <c r="J450" s="23">
        <f>IF($A450="","",TEXT($A450,"yyyy-mm"))</f>
        <v/>
      </c>
    </row>
    <row r="451" ht="18" customHeight="1">
      <c r="A451" s="20" t="n"/>
      <c r="B451" s="21" t="n"/>
      <c r="C451" s="22" t="n"/>
      <c r="D451" s="21" t="n"/>
      <c r="E451" s="21" t="n"/>
      <c r="F451" s="21" t="n"/>
      <c r="G451" s="21" t="n"/>
      <c r="H451" s="21" t="n"/>
      <c r="I451" s="21" t="n"/>
      <c r="J451" s="23">
        <f>IF($A451="","",TEXT($A451,"yyyy-mm"))</f>
        <v/>
      </c>
    </row>
    <row r="452" ht="18" customHeight="1">
      <c r="A452" s="20" t="n"/>
      <c r="B452" s="21" t="n"/>
      <c r="C452" s="22" t="n"/>
      <c r="D452" s="21" t="n"/>
      <c r="E452" s="21" t="n"/>
      <c r="F452" s="21" t="n"/>
      <c r="G452" s="21" t="n"/>
      <c r="H452" s="21" t="n"/>
      <c r="I452" s="21" t="n"/>
      <c r="J452" s="23">
        <f>IF($A452="","",TEXT($A452,"yyyy-mm"))</f>
        <v/>
      </c>
    </row>
    <row r="453" ht="18" customHeight="1">
      <c r="A453" s="20" t="n"/>
      <c r="B453" s="21" t="n"/>
      <c r="C453" s="22" t="n"/>
      <c r="D453" s="21" t="n"/>
      <c r="E453" s="21" t="n"/>
      <c r="F453" s="21" t="n"/>
      <c r="G453" s="21" t="n"/>
      <c r="H453" s="21" t="n"/>
      <c r="I453" s="21" t="n"/>
      <c r="J453" s="23">
        <f>IF($A453="","",TEXT($A453,"yyyy-mm"))</f>
        <v/>
      </c>
    </row>
    <row r="454" ht="18" customHeight="1">
      <c r="A454" s="20" t="n"/>
      <c r="B454" s="21" t="n"/>
      <c r="C454" s="22" t="n"/>
      <c r="D454" s="21" t="n"/>
      <c r="E454" s="21" t="n"/>
      <c r="F454" s="21" t="n"/>
      <c r="G454" s="21" t="n"/>
      <c r="H454" s="21" t="n"/>
      <c r="I454" s="21" t="n"/>
      <c r="J454" s="23">
        <f>IF($A454="","",TEXT($A454,"yyyy-mm"))</f>
        <v/>
      </c>
    </row>
    <row r="455" ht="18" customHeight="1">
      <c r="A455" s="20" t="n"/>
      <c r="B455" s="21" t="n"/>
      <c r="C455" s="22" t="n"/>
      <c r="D455" s="21" t="n"/>
      <c r="E455" s="21" t="n"/>
      <c r="F455" s="21" t="n"/>
      <c r="G455" s="21" t="n"/>
      <c r="H455" s="21" t="n"/>
      <c r="I455" s="21" t="n"/>
      <c r="J455" s="23">
        <f>IF($A455="","",TEXT($A455,"yyyy-mm"))</f>
        <v/>
      </c>
    </row>
    <row r="456" ht="18" customHeight="1">
      <c r="A456" s="20" t="n"/>
      <c r="B456" s="21" t="n"/>
      <c r="C456" s="22" t="n"/>
      <c r="D456" s="21" t="n"/>
      <c r="E456" s="21" t="n"/>
      <c r="F456" s="21" t="n"/>
      <c r="G456" s="21" t="n"/>
      <c r="H456" s="21" t="n"/>
      <c r="I456" s="21" t="n"/>
      <c r="J456" s="23">
        <f>IF($A456="","",TEXT($A456,"yyyy-mm"))</f>
        <v/>
      </c>
    </row>
    <row r="457" ht="18" customHeight="1">
      <c r="A457" s="20" t="n"/>
      <c r="B457" s="21" t="n"/>
      <c r="C457" s="22" t="n"/>
      <c r="D457" s="21" t="n"/>
      <c r="E457" s="21" t="n"/>
      <c r="F457" s="21" t="n"/>
      <c r="G457" s="21" t="n"/>
      <c r="H457" s="21" t="n"/>
      <c r="I457" s="21" t="n"/>
      <c r="J457" s="23">
        <f>IF($A457="","",TEXT($A457,"yyyy-mm"))</f>
        <v/>
      </c>
    </row>
    <row r="458" ht="18" customHeight="1">
      <c r="A458" s="20" t="n"/>
      <c r="B458" s="21" t="n"/>
      <c r="C458" s="22" t="n"/>
      <c r="D458" s="21" t="n"/>
      <c r="E458" s="21" t="n"/>
      <c r="F458" s="21" t="n"/>
      <c r="G458" s="21" t="n"/>
      <c r="H458" s="21" t="n"/>
      <c r="I458" s="21" t="n"/>
      <c r="J458" s="23">
        <f>IF($A458="","",TEXT($A458,"yyyy-mm"))</f>
        <v/>
      </c>
    </row>
    <row r="459" ht="18" customHeight="1">
      <c r="A459" s="20" t="n"/>
      <c r="B459" s="21" t="n"/>
      <c r="C459" s="22" t="n"/>
      <c r="D459" s="21" t="n"/>
      <c r="E459" s="21" t="n"/>
      <c r="F459" s="21" t="n"/>
      <c r="G459" s="21" t="n"/>
      <c r="H459" s="21" t="n"/>
      <c r="I459" s="21" t="n"/>
      <c r="J459" s="23">
        <f>IF($A459="","",TEXT($A459,"yyyy-mm"))</f>
        <v/>
      </c>
    </row>
    <row r="460" ht="18" customHeight="1">
      <c r="A460" s="20" t="n"/>
      <c r="B460" s="21" t="n"/>
      <c r="C460" s="22" t="n"/>
      <c r="D460" s="21" t="n"/>
      <c r="E460" s="21" t="n"/>
      <c r="F460" s="21" t="n"/>
      <c r="G460" s="21" t="n"/>
      <c r="H460" s="21" t="n"/>
      <c r="I460" s="21" t="n"/>
      <c r="J460" s="23">
        <f>IF($A460="","",TEXT($A460,"yyyy-mm"))</f>
        <v/>
      </c>
    </row>
    <row r="461" ht="18" customHeight="1">
      <c r="A461" s="20" t="n"/>
      <c r="B461" s="21" t="n"/>
      <c r="C461" s="22" t="n"/>
      <c r="D461" s="21" t="n"/>
      <c r="E461" s="21" t="n"/>
      <c r="F461" s="21" t="n"/>
      <c r="G461" s="21" t="n"/>
      <c r="H461" s="21" t="n"/>
      <c r="I461" s="21" t="n"/>
      <c r="J461" s="23">
        <f>IF($A461="","",TEXT($A461,"yyyy-mm"))</f>
        <v/>
      </c>
    </row>
    <row r="462" ht="18" customHeight="1">
      <c r="A462" s="20" t="n"/>
      <c r="B462" s="21" t="n"/>
      <c r="C462" s="22" t="n"/>
      <c r="D462" s="21" t="n"/>
      <c r="E462" s="21" t="n"/>
      <c r="F462" s="21" t="n"/>
      <c r="G462" s="21" t="n"/>
      <c r="H462" s="21" t="n"/>
      <c r="I462" s="21" t="n"/>
      <c r="J462" s="23">
        <f>IF($A462="","",TEXT($A462,"yyyy-mm"))</f>
        <v/>
      </c>
    </row>
    <row r="463" ht="18" customHeight="1">
      <c r="A463" s="20" t="n"/>
      <c r="B463" s="21" t="n"/>
      <c r="C463" s="22" t="n"/>
      <c r="D463" s="21" t="n"/>
      <c r="E463" s="21" t="n"/>
      <c r="F463" s="21" t="n"/>
      <c r="G463" s="21" t="n"/>
      <c r="H463" s="21" t="n"/>
      <c r="I463" s="21" t="n"/>
      <c r="J463" s="23">
        <f>IF($A463="","",TEXT($A463,"yyyy-mm"))</f>
        <v/>
      </c>
    </row>
    <row r="464" ht="18" customHeight="1">
      <c r="A464" s="20" t="n"/>
      <c r="B464" s="21" t="n"/>
      <c r="C464" s="22" t="n"/>
      <c r="D464" s="21" t="n"/>
      <c r="E464" s="21" t="n"/>
      <c r="F464" s="21" t="n"/>
      <c r="G464" s="21" t="n"/>
      <c r="H464" s="21" t="n"/>
      <c r="I464" s="21" t="n"/>
      <c r="J464" s="23">
        <f>IF($A464="","",TEXT($A464,"yyyy-mm"))</f>
        <v/>
      </c>
    </row>
    <row r="465" ht="18" customHeight="1">
      <c r="A465" s="20" t="n"/>
      <c r="B465" s="21" t="n"/>
      <c r="C465" s="22" t="n"/>
      <c r="D465" s="21" t="n"/>
      <c r="E465" s="21" t="n"/>
      <c r="F465" s="21" t="n"/>
      <c r="G465" s="21" t="n"/>
      <c r="H465" s="21" t="n"/>
      <c r="I465" s="21" t="n"/>
      <c r="J465" s="23">
        <f>IF($A465="","",TEXT($A465,"yyyy-mm"))</f>
        <v/>
      </c>
    </row>
    <row r="466" ht="18" customHeight="1">
      <c r="A466" s="20" t="n"/>
      <c r="B466" s="21" t="n"/>
      <c r="C466" s="22" t="n"/>
      <c r="D466" s="21" t="n"/>
      <c r="E466" s="21" t="n"/>
      <c r="F466" s="21" t="n"/>
      <c r="G466" s="21" t="n"/>
      <c r="H466" s="21" t="n"/>
      <c r="I466" s="21" t="n"/>
      <c r="J466" s="23">
        <f>IF($A466="","",TEXT($A466,"yyyy-mm"))</f>
        <v/>
      </c>
    </row>
    <row r="467" ht="18" customHeight="1">
      <c r="A467" s="20" t="n"/>
      <c r="B467" s="21" t="n"/>
      <c r="C467" s="22" t="n"/>
      <c r="D467" s="21" t="n"/>
      <c r="E467" s="21" t="n"/>
      <c r="F467" s="21" t="n"/>
      <c r="G467" s="21" t="n"/>
      <c r="H467" s="21" t="n"/>
      <c r="I467" s="21" t="n"/>
      <c r="J467" s="23">
        <f>IF($A467="","",TEXT($A467,"yyyy-mm"))</f>
        <v/>
      </c>
    </row>
    <row r="468" ht="18" customHeight="1">
      <c r="A468" s="20" t="n"/>
      <c r="B468" s="21" t="n"/>
      <c r="C468" s="22" t="n"/>
      <c r="D468" s="21" t="n"/>
      <c r="E468" s="21" t="n"/>
      <c r="F468" s="21" t="n"/>
      <c r="G468" s="21" t="n"/>
      <c r="H468" s="21" t="n"/>
      <c r="I468" s="21" t="n"/>
      <c r="J468" s="23">
        <f>IF($A468="","",TEXT($A468,"yyyy-mm"))</f>
        <v/>
      </c>
    </row>
    <row r="469" ht="18" customHeight="1">
      <c r="A469" s="20" t="n"/>
      <c r="B469" s="21" t="n"/>
      <c r="C469" s="22" t="n"/>
      <c r="D469" s="21" t="n"/>
      <c r="E469" s="21" t="n"/>
      <c r="F469" s="21" t="n"/>
      <c r="G469" s="21" t="n"/>
      <c r="H469" s="21" t="n"/>
      <c r="I469" s="21" t="n"/>
      <c r="J469" s="23">
        <f>IF($A469="","",TEXT($A469,"yyyy-mm"))</f>
        <v/>
      </c>
    </row>
    <row r="470" ht="18" customHeight="1">
      <c r="A470" s="20" t="n"/>
      <c r="B470" s="21" t="n"/>
      <c r="C470" s="22" t="n"/>
      <c r="D470" s="21" t="n"/>
      <c r="E470" s="21" t="n"/>
      <c r="F470" s="21" t="n"/>
      <c r="G470" s="21" t="n"/>
      <c r="H470" s="21" t="n"/>
      <c r="I470" s="21" t="n"/>
      <c r="J470" s="23">
        <f>IF($A470="","",TEXT($A470,"yyyy-mm"))</f>
        <v/>
      </c>
    </row>
    <row r="471" ht="18" customHeight="1">
      <c r="A471" s="20" t="n"/>
      <c r="B471" s="21" t="n"/>
      <c r="C471" s="22" t="n"/>
      <c r="D471" s="21" t="n"/>
      <c r="E471" s="21" t="n"/>
      <c r="F471" s="21" t="n"/>
      <c r="G471" s="21" t="n"/>
      <c r="H471" s="21" t="n"/>
      <c r="I471" s="21" t="n"/>
      <c r="J471" s="23">
        <f>IF($A471="","",TEXT($A471,"yyyy-mm"))</f>
        <v/>
      </c>
    </row>
    <row r="472" ht="18" customHeight="1">
      <c r="A472" s="20" t="n"/>
      <c r="B472" s="21" t="n"/>
      <c r="C472" s="22" t="n"/>
      <c r="D472" s="21" t="n"/>
      <c r="E472" s="21" t="n"/>
      <c r="F472" s="21" t="n"/>
      <c r="G472" s="21" t="n"/>
      <c r="H472" s="21" t="n"/>
      <c r="I472" s="21" t="n"/>
      <c r="J472" s="23">
        <f>IF($A472="","",TEXT($A472,"yyyy-mm"))</f>
        <v/>
      </c>
    </row>
    <row r="473" ht="18" customHeight="1">
      <c r="A473" s="20" t="n"/>
      <c r="B473" s="21" t="n"/>
      <c r="C473" s="22" t="n"/>
      <c r="D473" s="21" t="n"/>
      <c r="E473" s="21" t="n"/>
      <c r="F473" s="21" t="n"/>
      <c r="G473" s="21" t="n"/>
      <c r="H473" s="21" t="n"/>
      <c r="I473" s="21" t="n"/>
      <c r="J473" s="23">
        <f>IF($A473="","",TEXT($A473,"yyyy-mm"))</f>
        <v/>
      </c>
    </row>
    <row r="474" ht="18" customHeight="1">
      <c r="A474" s="20" t="n"/>
      <c r="B474" s="21" t="n"/>
      <c r="C474" s="22" t="n"/>
      <c r="D474" s="21" t="n"/>
      <c r="E474" s="21" t="n"/>
      <c r="F474" s="21" t="n"/>
      <c r="G474" s="21" t="n"/>
      <c r="H474" s="21" t="n"/>
      <c r="I474" s="21" t="n"/>
      <c r="J474" s="23">
        <f>IF($A474="","",TEXT($A474,"yyyy-mm"))</f>
        <v/>
      </c>
    </row>
    <row r="475" ht="18" customHeight="1">
      <c r="A475" s="20" t="n"/>
      <c r="B475" s="21" t="n"/>
      <c r="C475" s="22" t="n"/>
      <c r="D475" s="21" t="n"/>
      <c r="E475" s="21" t="n"/>
      <c r="F475" s="21" t="n"/>
      <c r="G475" s="21" t="n"/>
      <c r="H475" s="21" t="n"/>
      <c r="I475" s="21" t="n"/>
      <c r="J475" s="23">
        <f>IF($A475="","",TEXT($A475,"yyyy-mm"))</f>
        <v/>
      </c>
    </row>
    <row r="476" ht="18" customHeight="1">
      <c r="A476" s="20" t="n"/>
      <c r="B476" s="21" t="n"/>
      <c r="C476" s="22" t="n"/>
      <c r="D476" s="21" t="n"/>
      <c r="E476" s="21" t="n"/>
      <c r="F476" s="21" t="n"/>
      <c r="G476" s="21" t="n"/>
      <c r="H476" s="21" t="n"/>
      <c r="I476" s="21" t="n"/>
      <c r="J476" s="23">
        <f>IF($A476="","",TEXT($A476,"yyyy-mm"))</f>
        <v/>
      </c>
    </row>
    <row r="477" ht="18" customHeight="1">
      <c r="A477" s="20" t="n"/>
      <c r="B477" s="21" t="n"/>
      <c r="C477" s="22" t="n"/>
      <c r="D477" s="21" t="n"/>
      <c r="E477" s="21" t="n"/>
      <c r="F477" s="21" t="n"/>
      <c r="G477" s="21" t="n"/>
      <c r="H477" s="21" t="n"/>
      <c r="I477" s="21" t="n"/>
      <c r="J477" s="23">
        <f>IF($A477="","",TEXT($A477,"yyyy-mm"))</f>
        <v/>
      </c>
    </row>
    <row r="478" ht="18" customHeight="1">
      <c r="A478" s="20" t="n"/>
      <c r="B478" s="21" t="n"/>
      <c r="C478" s="22" t="n"/>
      <c r="D478" s="21" t="n"/>
      <c r="E478" s="21" t="n"/>
      <c r="F478" s="21" t="n"/>
      <c r="G478" s="21" t="n"/>
      <c r="H478" s="21" t="n"/>
      <c r="I478" s="21" t="n"/>
      <c r="J478" s="23">
        <f>IF($A478="","",TEXT($A478,"yyyy-mm"))</f>
        <v/>
      </c>
    </row>
    <row r="479" ht="18" customHeight="1">
      <c r="A479" s="20" t="n"/>
      <c r="B479" s="21" t="n"/>
      <c r="C479" s="22" t="n"/>
      <c r="D479" s="21" t="n"/>
      <c r="E479" s="21" t="n"/>
      <c r="F479" s="21" t="n"/>
      <c r="G479" s="21" t="n"/>
      <c r="H479" s="21" t="n"/>
      <c r="I479" s="21" t="n"/>
      <c r="J479" s="23">
        <f>IF($A479="","",TEXT($A479,"yyyy-mm"))</f>
        <v/>
      </c>
    </row>
    <row r="480" ht="18" customHeight="1">
      <c r="A480" s="20" t="n"/>
      <c r="B480" s="21" t="n"/>
      <c r="C480" s="22" t="n"/>
      <c r="D480" s="21" t="n"/>
      <c r="E480" s="21" t="n"/>
      <c r="F480" s="21" t="n"/>
      <c r="G480" s="21" t="n"/>
      <c r="H480" s="21" t="n"/>
      <c r="I480" s="21" t="n"/>
      <c r="J480" s="23">
        <f>IF($A480="","",TEXT($A480,"yyyy-mm"))</f>
        <v/>
      </c>
    </row>
    <row r="481" ht="18" customHeight="1">
      <c r="A481" s="20" t="n"/>
      <c r="B481" s="21" t="n"/>
      <c r="C481" s="22" t="n"/>
      <c r="D481" s="21" t="n"/>
      <c r="E481" s="21" t="n"/>
      <c r="F481" s="21" t="n"/>
      <c r="G481" s="21" t="n"/>
      <c r="H481" s="21" t="n"/>
      <c r="I481" s="21" t="n"/>
      <c r="J481" s="23">
        <f>IF($A481="","",TEXT($A481,"yyyy-mm"))</f>
        <v/>
      </c>
    </row>
    <row r="482" ht="18" customHeight="1">
      <c r="A482" s="20" t="n"/>
      <c r="B482" s="21" t="n"/>
      <c r="C482" s="22" t="n"/>
      <c r="D482" s="21" t="n"/>
      <c r="E482" s="21" t="n"/>
      <c r="F482" s="21" t="n"/>
      <c r="G482" s="21" t="n"/>
      <c r="H482" s="21" t="n"/>
      <c r="I482" s="21" t="n"/>
      <c r="J482" s="23">
        <f>IF($A482="","",TEXT($A482,"yyyy-mm"))</f>
        <v/>
      </c>
    </row>
    <row r="483" ht="18" customHeight="1">
      <c r="A483" s="20" t="n"/>
      <c r="B483" s="21" t="n"/>
      <c r="C483" s="22" t="n"/>
      <c r="D483" s="21" t="n"/>
      <c r="E483" s="21" t="n"/>
      <c r="F483" s="21" t="n"/>
      <c r="G483" s="21" t="n"/>
      <c r="H483" s="21" t="n"/>
      <c r="I483" s="21" t="n"/>
      <c r="J483" s="23">
        <f>IF($A483="","",TEXT($A483,"yyyy-mm"))</f>
        <v/>
      </c>
    </row>
    <row r="484" ht="18" customHeight="1">
      <c r="A484" s="20" t="n"/>
      <c r="B484" s="21" t="n"/>
      <c r="C484" s="22" t="n"/>
      <c r="D484" s="21" t="n"/>
      <c r="E484" s="21" t="n"/>
      <c r="F484" s="21" t="n"/>
      <c r="G484" s="21" t="n"/>
      <c r="H484" s="21" t="n"/>
      <c r="I484" s="21" t="n"/>
      <c r="J484" s="23">
        <f>IF($A484="","",TEXT($A484,"yyyy-mm"))</f>
        <v/>
      </c>
    </row>
    <row r="485" ht="18" customHeight="1">
      <c r="A485" s="20" t="n"/>
      <c r="B485" s="21" t="n"/>
      <c r="C485" s="22" t="n"/>
      <c r="D485" s="21" t="n"/>
      <c r="E485" s="21" t="n"/>
      <c r="F485" s="21" t="n"/>
      <c r="G485" s="21" t="n"/>
      <c r="H485" s="21" t="n"/>
      <c r="I485" s="21" t="n"/>
      <c r="J485" s="23">
        <f>IF($A485="","",TEXT($A485,"yyyy-mm"))</f>
        <v/>
      </c>
    </row>
    <row r="486" ht="18" customHeight="1">
      <c r="A486" s="20" t="n"/>
      <c r="B486" s="21" t="n"/>
      <c r="C486" s="22" t="n"/>
      <c r="D486" s="21" t="n"/>
      <c r="E486" s="21" t="n"/>
      <c r="F486" s="21" t="n"/>
      <c r="G486" s="21" t="n"/>
      <c r="H486" s="21" t="n"/>
      <c r="I486" s="21" t="n"/>
      <c r="J486" s="23">
        <f>IF($A486="","",TEXT($A486,"yyyy-mm"))</f>
        <v/>
      </c>
    </row>
    <row r="487" ht="18" customHeight="1">
      <c r="A487" s="20" t="n"/>
      <c r="B487" s="21" t="n"/>
      <c r="C487" s="22" t="n"/>
      <c r="D487" s="21" t="n"/>
      <c r="E487" s="21" t="n"/>
      <c r="F487" s="21" t="n"/>
      <c r="G487" s="21" t="n"/>
      <c r="H487" s="21" t="n"/>
      <c r="I487" s="21" t="n"/>
      <c r="J487" s="23">
        <f>IF($A487="","",TEXT($A487,"yyyy-mm"))</f>
        <v/>
      </c>
    </row>
    <row r="488" ht="18" customHeight="1">
      <c r="A488" s="20" t="n"/>
      <c r="B488" s="21" t="n"/>
      <c r="C488" s="22" t="n"/>
      <c r="D488" s="21" t="n"/>
      <c r="E488" s="21" t="n"/>
      <c r="F488" s="21" t="n"/>
      <c r="G488" s="21" t="n"/>
      <c r="H488" s="21" t="n"/>
      <c r="I488" s="21" t="n"/>
      <c r="J488" s="23">
        <f>IF($A488="","",TEXT($A488,"yyyy-mm"))</f>
        <v/>
      </c>
    </row>
    <row r="489" ht="18" customHeight="1">
      <c r="A489" s="20" t="n"/>
      <c r="B489" s="21" t="n"/>
      <c r="C489" s="22" t="n"/>
      <c r="D489" s="21" t="n"/>
      <c r="E489" s="21" t="n"/>
      <c r="F489" s="21" t="n"/>
      <c r="G489" s="21" t="n"/>
      <c r="H489" s="21" t="n"/>
      <c r="I489" s="21" t="n"/>
      <c r="J489" s="23">
        <f>IF($A489="","",TEXT($A489,"yyyy-mm"))</f>
        <v/>
      </c>
    </row>
    <row r="490" ht="18" customHeight="1">
      <c r="A490" s="20" t="n"/>
      <c r="B490" s="21" t="n"/>
      <c r="C490" s="22" t="n"/>
      <c r="D490" s="21" t="n"/>
      <c r="E490" s="21" t="n"/>
      <c r="F490" s="21" t="n"/>
      <c r="G490" s="21" t="n"/>
      <c r="H490" s="21" t="n"/>
      <c r="I490" s="21" t="n"/>
      <c r="J490" s="23">
        <f>IF($A490="","",TEXT($A490,"yyyy-mm"))</f>
        <v/>
      </c>
    </row>
    <row r="491" ht="18" customHeight="1">
      <c r="A491" s="20" t="n"/>
      <c r="B491" s="21" t="n"/>
      <c r="C491" s="22" t="n"/>
      <c r="D491" s="21" t="n"/>
      <c r="E491" s="21" t="n"/>
      <c r="F491" s="21" t="n"/>
      <c r="G491" s="21" t="n"/>
      <c r="H491" s="21" t="n"/>
      <c r="I491" s="21" t="n"/>
      <c r="J491" s="23">
        <f>IF($A491="","",TEXT($A491,"yyyy-mm"))</f>
        <v/>
      </c>
    </row>
    <row r="492" ht="18" customHeight="1">
      <c r="A492" s="20" t="n"/>
      <c r="B492" s="21" t="n"/>
      <c r="C492" s="22" t="n"/>
      <c r="D492" s="21" t="n"/>
      <c r="E492" s="21" t="n"/>
      <c r="F492" s="21" t="n"/>
      <c r="G492" s="21" t="n"/>
      <c r="H492" s="21" t="n"/>
      <c r="I492" s="21" t="n"/>
      <c r="J492" s="23">
        <f>IF($A492="","",TEXT($A492,"yyyy-mm"))</f>
        <v/>
      </c>
    </row>
    <row r="493" ht="18" customHeight="1">
      <c r="A493" s="20" t="n"/>
      <c r="B493" s="21" t="n"/>
      <c r="C493" s="22" t="n"/>
      <c r="D493" s="21" t="n"/>
      <c r="E493" s="21" t="n"/>
      <c r="F493" s="21" t="n"/>
      <c r="G493" s="21" t="n"/>
      <c r="H493" s="21" t="n"/>
      <c r="I493" s="21" t="n"/>
      <c r="J493" s="23">
        <f>IF($A493="","",TEXT($A493,"yyyy-mm"))</f>
        <v/>
      </c>
    </row>
    <row r="494" ht="18" customHeight="1">
      <c r="A494" s="20" t="n"/>
      <c r="B494" s="21" t="n"/>
      <c r="C494" s="22" t="n"/>
      <c r="D494" s="21" t="n"/>
      <c r="E494" s="21" t="n"/>
      <c r="F494" s="21" t="n"/>
      <c r="G494" s="21" t="n"/>
      <c r="H494" s="21" t="n"/>
      <c r="I494" s="21" t="n"/>
      <c r="J494" s="23">
        <f>IF($A494="","",TEXT($A494,"yyyy-mm"))</f>
        <v/>
      </c>
    </row>
    <row r="495" ht="18" customHeight="1">
      <c r="A495" s="20" t="n"/>
      <c r="B495" s="21" t="n"/>
      <c r="C495" s="22" t="n"/>
      <c r="D495" s="21" t="n"/>
      <c r="E495" s="21" t="n"/>
      <c r="F495" s="21" t="n"/>
      <c r="G495" s="21" t="n"/>
      <c r="H495" s="21" t="n"/>
      <c r="I495" s="21" t="n"/>
      <c r="J495" s="23">
        <f>IF($A495="","",TEXT($A495,"yyyy-mm"))</f>
        <v/>
      </c>
    </row>
    <row r="496" ht="18" customHeight="1">
      <c r="A496" s="20" t="n"/>
      <c r="B496" s="21" t="n"/>
      <c r="C496" s="22" t="n"/>
      <c r="D496" s="21" t="n"/>
      <c r="E496" s="21" t="n"/>
      <c r="F496" s="21" t="n"/>
      <c r="G496" s="21" t="n"/>
      <c r="H496" s="21" t="n"/>
      <c r="I496" s="21" t="n"/>
      <c r="J496" s="23">
        <f>IF($A496="","",TEXT($A496,"yyyy-mm"))</f>
        <v/>
      </c>
    </row>
    <row r="497" ht="18" customHeight="1">
      <c r="A497" s="20" t="n"/>
      <c r="B497" s="21" t="n"/>
      <c r="C497" s="22" t="n"/>
      <c r="D497" s="21" t="n"/>
      <c r="E497" s="21" t="n"/>
      <c r="F497" s="21" t="n"/>
      <c r="G497" s="21" t="n"/>
      <c r="H497" s="21" t="n"/>
      <c r="I497" s="21" t="n"/>
      <c r="J497" s="23">
        <f>IF($A497="","",TEXT($A497,"yyyy-mm"))</f>
        <v/>
      </c>
    </row>
    <row r="498" ht="18" customHeight="1">
      <c r="A498" s="20" t="n"/>
      <c r="B498" s="21" t="n"/>
      <c r="C498" s="22" t="n"/>
      <c r="D498" s="21" t="n"/>
      <c r="E498" s="21" t="n"/>
      <c r="F498" s="21" t="n"/>
      <c r="G498" s="21" t="n"/>
      <c r="H498" s="21" t="n"/>
      <c r="I498" s="21" t="n"/>
      <c r="J498" s="23">
        <f>IF($A498="","",TEXT($A498,"yyyy-mm"))</f>
        <v/>
      </c>
    </row>
    <row r="499" ht="18" customHeight="1">
      <c r="A499" s="20" t="n"/>
      <c r="B499" s="21" t="n"/>
      <c r="C499" s="22" t="n"/>
      <c r="D499" s="21" t="n"/>
      <c r="E499" s="21" t="n"/>
      <c r="F499" s="21" t="n"/>
      <c r="G499" s="21" t="n"/>
      <c r="H499" s="21" t="n"/>
      <c r="I499" s="21" t="n"/>
      <c r="J499" s="23">
        <f>IF($A499="","",TEXT($A499,"yyyy-mm"))</f>
        <v/>
      </c>
    </row>
    <row r="500" ht="18" customHeight="1">
      <c r="A500" s="20" t="n"/>
      <c r="B500" s="21" t="n"/>
      <c r="C500" s="22" t="n"/>
      <c r="D500" s="21" t="n"/>
      <c r="E500" s="21" t="n"/>
      <c r="F500" s="21" t="n"/>
      <c r="G500" s="21" t="n"/>
      <c r="H500" s="21" t="n"/>
      <c r="I500" s="21" t="n"/>
      <c r="J500" s="23">
        <f>IF($A500="","",TEXT($A500,"yyyy-mm"))</f>
        <v/>
      </c>
    </row>
    <row r="501" ht="18" customHeight="1">
      <c r="A501" s="20" t="n"/>
      <c r="B501" s="21" t="n"/>
      <c r="C501" s="22" t="n"/>
      <c r="D501" s="21" t="n"/>
      <c r="E501" s="21" t="n"/>
      <c r="F501" s="21" t="n"/>
      <c r="G501" s="21" t="n"/>
      <c r="H501" s="21" t="n"/>
      <c r="I501" s="21" t="n"/>
      <c r="J501" s="23">
        <f>IF($A501="","",TEXT($A501,"yyyy-mm"))</f>
        <v/>
      </c>
    </row>
  </sheetData>
  <autoFilter ref="A1:J501"/>
  <conditionalFormatting sqref="A2:J501">
    <cfRule type="expression" priority="1" dxfId="0">
      <formula>$G2="Perlu Perbaikan"</formula>
    </cfRule>
    <cfRule type="expression" priority="2" dxfId="1">
      <formula>AND($A2&lt;&gt;"",$C2="")</formula>
    </cfRule>
    <cfRule type="expression" priority="3" dxfId="2">
      <formula>AND($A2&lt;&gt;"",$E2="")</formula>
    </cfRule>
    <cfRule type="expression" priority="7" dxfId="3">
      <formula>MOD(ROW(),2)=0</formula>
    </cfRule>
  </conditionalFormatting>
  <conditionalFormatting sqref="G2:G501">
    <cfRule type="expression" priority="4" dxfId="4">
      <formula>$G2="Disetujui"</formula>
    </cfRule>
  </conditionalFormatting>
  <conditionalFormatting sqref="B2:B501">
    <cfRule type="expression" priority="5" dxfId="4">
      <formula>$B2="Masuk"</formula>
    </cfRule>
    <cfRule type="expression" priority="6" dxfId="5">
      <formula>$B2="Keluar"</formula>
    </cfRule>
  </conditionalFormatting>
  <dataValidations count="5">
    <dataValidation sqref="B2:B501" showDropDown="0" showInputMessage="0" showErrorMessage="0" allowBlank="1" errorTitle="Pilihan tidak tersedia" error="Pilih Masuk atau Keluar dari daftar." type="list">
      <formula1>Kategori!$F$7:$F$8</formula1>
    </dataValidation>
    <dataValidation sqref="C2:C501" showDropDown="0" showInputMessage="0" showErrorMessage="0" allowBlank="1" errorTitle="Nominal tidak valid" error="Tulis angka saja, tanpa Rp dan tanpa titik." type="decimal" operator="greaterThanOrEqual">
      <formula1>0</formula1>
    </dataValidation>
    <dataValidation sqref="E2:E501" showDropDown="0" showInputMessage="0" showErrorMessage="0" allowBlank="1" type="list">
      <formula1>Kategori!$G$7:$G$42</formula1>
    </dataValidation>
    <dataValidation sqref="F2:F501" showDropDown="0" showInputMessage="0" showErrorMessage="0" allowBlank="1" type="list">
      <formula1>Kategori!$D$7:$D$14</formula1>
    </dataValidation>
    <dataValidation sqref="G2:G501" showDropDown="0" showInputMessage="0" showErrorMessage="0" allowBlank="1" type="list">
      <formula1>Kategori!$E$7:$E$12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 fitToPage="1"/>
  </sheetPr>
  <dimension ref="B2:O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5" customWidth="1" min="3" max="3"/>
    <col width="2" customWidth="1" min="4" max="4"/>
    <col width="23" customWidth="1" min="5" max="5"/>
    <col width="15" customWidth="1" min="6" max="6"/>
    <col width="3" customWidth="1" min="7" max="7"/>
    <col width="2" customWidth="1" min="8" max="8"/>
  </cols>
  <sheetData>
    <row r="1" ht="8" customHeight="1"/>
    <row r="2">
      <c r="B2" s="1" t="inlineStr">
        <is>
          <t>KASUMKM · DASHBOARD KEUANGAN</t>
        </is>
      </c>
    </row>
    <row r="3" ht="30" customHeight="1">
      <c r="B3" s="2">
        <f>IF('Profil Usaha'!$C$7="","Dashboard Keuangan",'Profil Usaha'!$C$7)</f>
        <v/>
      </c>
    </row>
    <row r="4">
      <c r="B4" s="3" t="inlineStr">
        <is>
          <t>Ubah Bulan &amp; Tahun — semua kartu, indikator, dan grafik ikut berubah.</t>
        </is>
      </c>
    </row>
    <row r="5" ht="6" customHeight="1"/>
    <row r="6" ht="24" customHeight="1">
      <c r="B6" s="24" t="inlineStr">
        <is>
          <t>Bulan (1-12)</t>
        </is>
      </c>
      <c r="C6" s="25" t="n">
        <v>6</v>
      </c>
      <c r="E6" s="24" t="inlineStr">
        <is>
          <t>Tahun</t>
        </is>
      </c>
      <c r="F6" s="25" t="n">
        <v>2026</v>
      </c>
    </row>
    <row r="7" ht="20" customHeight="1">
      <c r="B7" s="26">
        <f>CHOOSE($C$6,"Januari","Februari","Maret","April","Mei","Juni","Juli","Agustus","September","Oktober","November","Desember")&amp;" "&amp;$F$6</f>
        <v/>
      </c>
      <c r="E7" s="27">
        <f>IF($L$8&gt;0,"● SEHAT · laba bulan ini positif",IF($L$8=0,"● IMBANG · belum ada laba","● WASPADA · pengeluaran lebih besar"))</f>
        <v/>
      </c>
    </row>
    <row r="8" hidden="1">
      <c r="B8" s="28" t="inlineStr">
        <is>
          <t>kunci</t>
        </is>
      </c>
      <c r="C8" s="28">
        <f>TEXT(DATE($F$6,$C$6,1),"yyyy-mm")</f>
        <v/>
      </c>
      <c r="E8" s="28" t="inlineStr">
        <is>
          <t>kunci bulan lalu</t>
        </is>
      </c>
      <c r="F8" s="28">
        <f>TEXT(DATE($F$6,$C$6-1,1),"yyyy-mm")</f>
        <v/>
      </c>
      <c r="H8" s="29">
        <f>'Data Grafik'!$B$4</f>
        <v/>
      </c>
      <c r="I8" s="29">
        <f>'Data Grafik'!$C$4</f>
        <v/>
      </c>
      <c r="J8" s="29">
        <f>'Data Grafik'!$B$5</f>
        <v/>
      </c>
      <c r="K8" s="29">
        <f>'Data Grafik'!$C$5</f>
        <v/>
      </c>
      <c r="L8" s="29">
        <f>'Data Grafik'!$B$6</f>
        <v/>
      </c>
      <c r="M8" s="29">
        <f>'Data Grafik'!$C$6</f>
        <v/>
      </c>
      <c r="N8" s="29">
        <f>'Data Grafik'!$B$7</f>
        <v/>
      </c>
      <c r="O8" s="29">
        <f>'Data Grafik'!$C$7</f>
        <v/>
      </c>
    </row>
    <row r="9" ht="8" customHeight="1"/>
    <row r="10" ht="16" customHeight="1">
      <c r="B10" s="30" t="inlineStr">
        <is>
          <t>UANG MASUK BULAN INI</t>
        </is>
      </c>
      <c r="C10" s="31" t="n"/>
      <c r="E10" s="32" t="inlineStr">
        <is>
          <t>UANG KELUAR BULAN INI</t>
        </is>
      </c>
      <c r="F10" s="33" t="n"/>
    </row>
    <row r="11" ht="30" customHeight="1">
      <c r="B11" s="34">
        <f>$H$8</f>
        <v/>
      </c>
      <c r="C11" s="35" t="n"/>
      <c r="E11" s="36">
        <f>$J$8</f>
        <v/>
      </c>
      <c r="F11" s="35" t="n"/>
    </row>
    <row r="12" ht="17" customHeight="1">
      <c r="B12" s="37">
        <f>IF($I$8=0,"belum ada pembanding bulan lalu",IF($H$8&gt;=$I$8,"▲ ","▼ ")&amp;TEXT(ABS($H$8-$I$8)/ABS($I$8),"0%")&amp;" vs bulan lalu")</f>
        <v/>
      </c>
      <c r="C12" s="38" t="n"/>
      <c r="E12" s="39">
        <f>IF($K$8=0,"belum ada pembanding bulan lalu",IF($J$8&gt;=$K$8,"▲ ","▼ ")&amp;TEXT(ABS($J$8-$K$8)/ABS($K$8),"0%")&amp;" vs bulan lalu")</f>
        <v/>
      </c>
      <c r="F12" s="38" t="n"/>
    </row>
    <row r="13" ht="6" customHeight="1"/>
    <row r="14" ht="16" customHeight="1">
      <c r="B14" s="40" t="inlineStr">
        <is>
          <t>LABA / RUGI BULAN INI</t>
        </is>
      </c>
      <c r="C14" s="41" t="n"/>
      <c r="E14" s="42" t="inlineStr">
        <is>
          <t>SALDO KAS SAMPAI AKHIR BULAN</t>
        </is>
      </c>
      <c r="F14" s="43" t="n"/>
    </row>
    <row r="15" ht="30" customHeight="1">
      <c r="B15" s="44">
        <f>$L$8</f>
        <v/>
      </c>
      <c r="C15" s="35" t="n"/>
      <c r="E15" s="45">
        <f>$N$8</f>
        <v/>
      </c>
      <c r="F15" s="35" t="n"/>
    </row>
    <row r="16" ht="17" customHeight="1">
      <c r="B16" s="46">
        <f>IF($M$8=0,"belum ada pembanding bulan lalu",IF($L$8&gt;=$M$8,"▲ ","▼ ")&amp;TEXT(ABS($L$8-$M$8)/ABS($M$8),"0%")&amp;" vs bulan lalu")</f>
        <v/>
      </c>
      <c r="C16" s="38" t="n"/>
      <c r="E16" s="47">
        <f>IF($O$8=0,"belum ada pembanding bulan lalu",IF($N$8&gt;=$O$8,"▲ ","▼ ")&amp;TEXT(ABS($N$8-$O$8)/ABS($O$8),"0%")&amp;" vs bulan lalu")</f>
        <v/>
      </c>
      <c r="F16" s="38" t="n"/>
    </row>
    <row r="17" ht="10" customHeight="1"/>
    <row r="18" ht="20" customHeight="1">
      <c r="B18" s="14" t="inlineStr">
        <is>
          <t>RINGKASAN CEPAT</t>
        </is>
      </c>
      <c r="C18" s="5" t="n"/>
      <c r="D18" s="5" t="n"/>
      <c r="E18" s="5" t="n"/>
      <c r="F18" s="5" t="n"/>
    </row>
    <row r="19" ht="20" customHeight="1">
      <c r="B19" s="48" t="inlineStr">
        <is>
          <t>Transaksi bulan ini</t>
        </is>
      </c>
      <c r="C19" s="49">
        <f>'Data Grafik'!$B$8</f>
        <v/>
      </c>
      <c r="E19" s="50" t="inlineStr">
        <is>
          <t>Belum dikategorikan</t>
        </is>
      </c>
      <c r="F19" s="51">
        <f>'Data Grafik'!$B$9</f>
        <v/>
      </c>
    </row>
    <row r="20" ht="20" customHeight="1">
      <c r="B20" s="48" t="inlineStr">
        <is>
          <t>Belum disetujui</t>
        </is>
      </c>
      <c r="C20" s="49">
        <f>'Data Grafik'!$B$10</f>
        <v/>
      </c>
      <c r="E20" s="48" t="inlineStr">
        <is>
          <t>Terakhir dicatat</t>
        </is>
      </c>
      <c r="F20" s="52">
        <f>'Data Grafik'!$B$11</f>
        <v/>
      </c>
    </row>
    <row r="21" ht="10" customHeight="1"/>
    <row r="22" ht="20" customHeight="1">
      <c r="B22" s="14" t="inlineStr">
        <is>
          <t>UANG PALING BANYAK KELUAR BULAN INI</t>
        </is>
      </c>
      <c r="C22" s="5" t="n"/>
      <c r="D22" s="5" t="n"/>
      <c r="E22" s="5" t="n"/>
      <c r="F22" s="5" t="n"/>
    </row>
    <row r="23" ht="22" customHeight="1">
      <c r="B23" s="53" t="inlineStr">
        <is>
          <t>Kategori</t>
        </is>
      </c>
      <c r="C23" s="53" t="inlineStr">
        <is>
          <t>Jumlah</t>
        </is>
      </c>
      <c r="E23" s="53" t="inlineStr">
        <is>
          <t>Grafik</t>
        </is>
      </c>
      <c r="F23" s="54" t="n"/>
    </row>
    <row r="24" ht="19" customHeight="1">
      <c r="B24" s="55">
        <f>IF('Data Grafik'!$A$45="","—",'Data Grafik'!$A$45)</f>
        <v/>
      </c>
      <c r="C24" s="56">
        <f>IF('Data Grafik'!$A$45="","",'Data Grafik'!$B$45)</f>
        <v/>
      </c>
      <c r="E24" s="57">
        <f>IF(OR($C24="",$C24=0),"",REPT("█",MAX(1,ROUND(16*$C24/MAX($C$24:$C$29),0))))</f>
        <v/>
      </c>
      <c r="F24" s="58" t="n"/>
    </row>
    <row r="25" ht="19" customHeight="1">
      <c r="B25" s="59">
        <f>IF('Data Grafik'!$A$46="","—",'Data Grafik'!$A$46)</f>
        <v/>
      </c>
      <c r="C25" s="60">
        <f>IF('Data Grafik'!$A$46="","",'Data Grafik'!$B$46)</f>
        <v/>
      </c>
      <c r="E25" s="61">
        <f>IF(OR($C25="",$C25=0),"",REPT("█",MAX(1,ROUND(16*$C25/MAX($C$24:$C$29),0))))</f>
        <v/>
      </c>
      <c r="F25" s="62" t="n"/>
    </row>
    <row r="26" ht="19" customHeight="1">
      <c r="B26" s="55">
        <f>IF('Data Grafik'!$A$47="","—",'Data Grafik'!$A$47)</f>
        <v/>
      </c>
      <c r="C26" s="56">
        <f>IF('Data Grafik'!$A$47="","",'Data Grafik'!$B$47)</f>
        <v/>
      </c>
      <c r="E26" s="57">
        <f>IF(OR($C26="",$C26=0),"",REPT("█",MAX(1,ROUND(16*$C26/MAX($C$24:$C$29),0))))</f>
        <v/>
      </c>
      <c r="F26" s="58" t="n"/>
    </row>
    <row r="27" ht="19" customHeight="1">
      <c r="B27" s="59">
        <f>IF('Data Grafik'!$A$48="","—",'Data Grafik'!$A$48)</f>
        <v/>
      </c>
      <c r="C27" s="60">
        <f>IF('Data Grafik'!$A$48="","",'Data Grafik'!$B$48)</f>
        <v/>
      </c>
      <c r="E27" s="61">
        <f>IF(OR($C27="",$C27=0),"",REPT("█",MAX(1,ROUND(16*$C27/MAX($C$24:$C$29),0))))</f>
        <v/>
      </c>
      <c r="F27" s="62" t="n"/>
    </row>
    <row r="28" ht="19" customHeight="1">
      <c r="B28" s="55">
        <f>IF('Data Grafik'!$A$49="","—",'Data Grafik'!$A$49)</f>
        <v/>
      </c>
      <c r="C28" s="56">
        <f>IF('Data Grafik'!$A$49="","",'Data Grafik'!$B$49)</f>
        <v/>
      </c>
      <c r="E28" s="57">
        <f>IF(OR($C28="",$C28=0),"",REPT("█",MAX(1,ROUND(16*$C28/MAX($C$24:$C$29),0))))</f>
        <v/>
      </c>
      <c r="F28" s="58" t="n"/>
    </row>
    <row r="29" ht="19" customHeight="1">
      <c r="B29" s="59">
        <f>IF('Data Grafik'!$A$50="","—",'Data Grafik'!$A$50)</f>
        <v/>
      </c>
      <c r="C29" s="60">
        <f>IF('Data Grafik'!$A$50="","",'Data Grafik'!$B$50)</f>
        <v/>
      </c>
      <c r="E29" s="61">
        <f>IF(OR($C29="",$C29=0),"",REPT("█",MAX(1,ROUND(16*$C29/MAX($C$24:$C$29),0))))</f>
        <v/>
      </c>
      <c r="F29" s="62" t="n"/>
    </row>
    <row r="31">
      <c r="B31" s="18" t="inlineStr">
        <is>
          <t>Balok █ makin panjang = pengeluaran makin besar. Grafik lengkap ada di sebelah kanan →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7">
    <mergeCell ref="B4:F4"/>
    <mergeCell ref="E12:F12"/>
    <mergeCell ref="B16:C16"/>
    <mergeCell ref="B7:C7"/>
    <mergeCell ref="E24:F24"/>
    <mergeCell ref="B3:F3"/>
    <mergeCell ref="E23:F23"/>
    <mergeCell ref="B31:F31"/>
    <mergeCell ref="E14:F14"/>
    <mergeCell ref="B22:F22"/>
    <mergeCell ref="B18:F18"/>
    <mergeCell ref="B12:C12"/>
    <mergeCell ref="B2:F2"/>
    <mergeCell ref="B11:C11"/>
    <mergeCell ref="E10:F10"/>
    <mergeCell ref="E29:F29"/>
    <mergeCell ref="E28:F28"/>
    <mergeCell ref="B14:C14"/>
    <mergeCell ref="E15:F15"/>
    <mergeCell ref="B10:C10"/>
    <mergeCell ref="E11:F11"/>
    <mergeCell ref="E27:F27"/>
    <mergeCell ref="E26:F26"/>
    <mergeCell ref="B15:C15"/>
    <mergeCell ref="E16:F16"/>
    <mergeCell ref="E7:F7"/>
    <mergeCell ref="E25:F25"/>
  </mergeCells>
  <conditionalFormatting sqref="E7:F7">
    <cfRule type="expression" priority="1" dxfId="6" stopIfTrue="1">
      <formula>$L$8&gt;0</formula>
    </cfRule>
    <cfRule type="expression" priority="2" dxfId="7" stopIfTrue="1">
      <formula>$L$8=0</formula>
    </cfRule>
    <cfRule type="expression" priority="3" dxfId="8" stopIfTrue="1">
      <formula>$L$8&lt;0</formula>
    </cfRule>
  </conditionalFormatting>
  <conditionalFormatting sqref="B12:C12">
    <cfRule type="expression" priority="4" dxfId="9" stopIfTrue="1">
      <formula>AND($I$8&lt;&gt;0,$H$8&gt;=$I$8)</formula>
    </cfRule>
    <cfRule type="expression" priority="5" dxfId="10" stopIfTrue="1">
      <formula>AND($I$8&lt;&gt;0,$H$8&lt;$I$8)</formula>
    </cfRule>
  </conditionalFormatting>
  <conditionalFormatting sqref="E12:F12">
    <cfRule type="expression" priority="6" dxfId="10" stopIfTrue="1">
      <formula>AND($K$8&lt;&gt;0,$J$8&gt;=$K$8)</formula>
    </cfRule>
    <cfRule type="expression" priority="7" dxfId="9" stopIfTrue="1">
      <formula>AND($K$8&lt;&gt;0,$J$8&lt;$K$8)</formula>
    </cfRule>
  </conditionalFormatting>
  <conditionalFormatting sqref="B16:C16">
    <cfRule type="expression" priority="8" dxfId="9" stopIfTrue="1">
      <formula>AND($M$8&lt;&gt;0,$L$8&gt;=$M$8)</formula>
    </cfRule>
    <cfRule type="expression" priority="9" dxfId="10" stopIfTrue="1">
      <formula>AND($M$8&lt;&gt;0,$L$8&lt;$M$8)</formula>
    </cfRule>
  </conditionalFormatting>
  <conditionalFormatting sqref="E16:F16">
    <cfRule type="expression" priority="10" dxfId="9" stopIfTrue="1">
      <formula>AND($O$8&lt;&gt;0,$N$8&gt;=$O$8)</formula>
    </cfRule>
    <cfRule type="expression" priority="11" dxfId="10" stopIfTrue="1">
      <formula>AND($O$8&lt;&gt;0,$N$8&lt;$O$8)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B2:D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4" customWidth="1" min="4" max="4"/>
  </cols>
  <sheetData>
    <row r="1" ht="8" customHeight="1"/>
    <row r="2">
      <c r="B2" s="1" t="inlineStr">
        <is>
          <t>KASUMKM · LAPORAN BULANAN</t>
        </is>
      </c>
    </row>
    <row r="3" ht="30" customHeight="1">
      <c r="B3" s="2" t="inlineStr">
        <is>
          <t>Laporan Laba Rugi</t>
        </is>
      </c>
    </row>
    <row r="4">
      <c r="B4" s="3" t="inlineStr">
        <is>
          <t>Bulan mengikuti pilihan di sheet Dashboard. Siap dicetak / disimpan sebagai PDF.</t>
        </is>
      </c>
    </row>
    <row r="5" ht="6" customHeight="1"/>
    <row r="6">
      <c r="B6" s="63">
        <f>"Periode: "&amp;CHOOSE(Dashboard!$C$6,"Januari","Februari","Maret","April","Mei","Juni","Juli","Agustus","September","Oktober","November","Desember")&amp;" "&amp;Dashboard!$F$6&amp;"  ·  "&amp;IF('Profil Usaha'!$C$7="","(Nama Usaha)",'Profil Usaha'!$C$7)</f>
        <v/>
      </c>
    </row>
    <row r="8" ht="26" customHeight="1">
      <c r="B8" s="64" t="inlineStr">
        <is>
          <t>PEMASUKAN</t>
        </is>
      </c>
      <c r="C8" s="64" t="inlineStr">
        <is>
          <t>Jumlah (Rp)</t>
        </is>
      </c>
      <c r="D8" s="64" t="inlineStr">
        <is>
          <t>% dari Pemasukan</t>
        </is>
      </c>
    </row>
    <row r="9" ht="18" customHeight="1">
      <c r="B9" s="59">
        <f>Kategori!$B$7</f>
        <v/>
      </c>
      <c r="C9" s="65">
        <f>SUMIFS(Transaksi!$C:$C,Transaksi!$J:$J,Dashboard!$C$8,Transaksi!$B:$B,"Masuk",Transaksi!$E:$E,$B9)</f>
        <v/>
      </c>
      <c r="D9" s="66">
        <f>IF($C$15=0,"",$C9/$C$15)</f>
        <v/>
      </c>
    </row>
    <row r="10" ht="18" customHeight="1">
      <c r="B10" s="55">
        <f>Kategori!$B$8</f>
        <v/>
      </c>
      <c r="C10" s="67">
        <f>SUMIFS(Transaksi!$C:$C,Transaksi!$J:$J,Dashboard!$C$8,Transaksi!$B:$B,"Masuk",Transaksi!$E:$E,$B10)</f>
        <v/>
      </c>
      <c r="D10" s="68">
        <f>IF($C$15=0,"",$C10/$C$15)</f>
        <v/>
      </c>
    </row>
    <row r="11" ht="18" customHeight="1">
      <c r="B11" s="59">
        <f>Kategori!$B$9</f>
        <v/>
      </c>
      <c r="C11" s="65">
        <f>SUMIFS(Transaksi!$C:$C,Transaksi!$J:$J,Dashboard!$C$8,Transaksi!$B:$B,"Masuk",Transaksi!$E:$E,$B11)</f>
        <v/>
      </c>
      <c r="D11" s="66">
        <f>IF($C$15=0,"",$C11/$C$15)</f>
        <v/>
      </c>
    </row>
    <row r="12" ht="18" customHeight="1">
      <c r="B12" s="55">
        <f>Kategori!$B$10</f>
        <v/>
      </c>
      <c r="C12" s="67">
        <f>SUMIFS(Transaksi!$C:$C,Transaksi!$J:$J,Dashboard!$C$8,Transaksi!$B:$B,"Masuk",Transaksi!$E:$E,$B12)</f>
        <v/>
      </c>
      <c r="D12" s="68">
        <f>IF($C$15=0,"",$C12/$C$15)</f>
        <v/>
      </c>
    </row>
    <row r="13" ht="18" customHeight="1">
      <c r="B13" s="59">
        <f>Kategori!$B$11</f>
        <v/>
      </c>
      <c r="C13" s="65">
        <f>SUMIFS(Transaksi!$C:$C,Transaksi!$J:$J,Dashboard!$C$8,Transaksi!$B:$B,"Masuk",Transaksi!$E:$E,$B13)</f>
        <v/>
      </c>
      <c r="D13" s="66">
        <f>IF($C$15=0,"",$C13/$C$15)</f>
        <v/>
      </c>
    </row>
    <row r="14" ht="18" customHeight="1">
      <c r="B14" s="55" t="inlineStr">
        <is>
          <t>Belum dikategorikan</t>
        </is>
      </c>
      <c r="C14" s="67">
        <f>SUMIFS(Transaksi!$C:$C,Transaksi!$J:$J,Dashboard!$C$8,Transaksi!$B:$B,"Masuk",Transaksi!$E:$E,"")</f>
        <v/>
      </c>
      <c r="D14" s="68">
        <f>IF($C$15=0,"",$C14/$C$15)</f>
        <v/>
      </c>
    </row>
    <row r="15" ht="22" customHeight="1">
      <c r="B15" s="69" t="inlineStr">
        <is>
          <t>TOTAL PEMASUKAN</t>
        </is>
      </c>
      <c r="C15" s="70">
        <f>SUM(C9:C14)</f>
        <v/>
      </c>
      <c r="D15" s="71">
        <f>IF($C$15=0,"",$C15/$C$15)</f>
        <v/>
      </c>
    </row>
    <row r="17" ht="26" customHeight="1">
      <c r="B17" s="53" t="inlineStr">
        <is>
          <t>PENGELUARAN</t>
        </is>
      </c>
      <c r="C17" s="53" t="inlineStr">
        <is>
          <t>Jumlah (Rp)</t>
        </is>
      </c>
      <c r="D17" s="53" t="inlineStr">
        <is>
          <t>% dari Pemasukan</t>
        </is>
      </c>
    </row>
    <row r="18" ht="18" customHeight="1">
      <c r="B18" s="55">
        <f>Kategori!$C$7</f>
        <v/>
      </c>
      <c r="C18" s="67">
        <f>SUMIFS(Transaksi!$C:$C,Transaksi!$J:$J,Dashboard!$C$8,Transaksi!$B:$B,"Keluar",Transaksi!$E:$E,$B18)</f>
        <v/>
      </c>
      <c r="D18" s="68">
        <f>IF($C$15=0,"",$C18/$C$15)</f>
        <v/>
      </c>
    </row>
    <row r="19" ht="18" customHeight="1">
      <c r="B19" s="59">
        <f>Kategori!$C$8</f>
        <v/>
      </c>
      <c r="C19" s="65">
        <f>SUMIFS(Transaksi!$C:$C,Transaksi!$J:$J,Dashboard!$C$8,Transaksi!$B:$B,"Keluar",Transaksi!$E:$E,$B19)</f>
        <v/>
      </c>
      <c r="D19" s="66">
        <f>IF($C$15=0,"",$C19/$C$15)</f>
        <v/>
      </c>
    </row>
    <row r="20" ht="18" customHeight="1">
      <c r="B20" s="55">
        <f>Kategori!$C$9</f>
        <v/>
      </c>
      <c r="C20" s="67">
        <f>SUMIFS(Transaksi!$C:$C,Transaksi!$J:$J,Dashboard!$C$8,Transaksi!$B:$B,"Keluar",Transaksi!$E:$E,$B20)</f>
        <v/>
      </c>
      <c r="D20" s="68">
        <f>IF($C$15=0,"",$C20/$C$15)</f>
        <v/>
      </c>
    </row>
    <row r="21" ht="18" customHeight="1">
      <c r="B21" s="59">
        <f>Kategori!$C$10</f>
        <v/>
      </c>
      <c r="C21" s="65">
        <f>SUMIFS(Transaksi!$C:$C,Transaksi!$J:$J,Dashboard!$C$8,Transaksi!$B:$B,"Keluar",Transaksi!$E:$E,$B21)</f>
        <v/>
      </c>
      <c r="D21" s="66">
        <f>IF($C$15=0,"",$C21/$C$15)</f>
        <v/>
      </c>
    </row>
    <row r="22" ht="18" customHeight="1">
      <c r="B22" s="55">
        <f>Kategori!$C$11</f>
        <v/>
      </c>
      <c r="C22" s="67">
        <f>SUMIFS(Transaksi!$C:$C,Transaksi!$J:$J,Dashboard!$C$8,Transaksi!$B:$B,"Keluar",Transaksi!$E:$E,$B22)</f>
        <v/>
      </c>
      <c r="D22" s="68">
        <f>IF($C$15=0,"",$C22/$C$15)</f>
        <v/>
      </c>
    </row>
    <row r="23" ht="18" customHeight="1">
      <c r="B23" s="59">
        <f>Kategori!$C$12</f>
        <v/>
      </c>
      <c r="C23" s="65">
        <f>SUMIFS(Transaksi!$C:$C,Transaksi!$J:$J,Dashboard!$C$8,Transaksi!$B:$B,"Keluar",Transaksi!$E:$E,$B23)</f>
        <v/>
      </c>
      <c r="D23" s="66">
        <f>IF($C$15=0,"",$C23/$C$15)</f>
        <v/>
      </c>
    </row>
    <row r="24" ht="18" customHeight="1">
      <c r="B24" s="55">
        <f>Kategori!$C$13</f>
        <v/>
      </c>
      <c r="C24" s="67">
        <f>SUMIFS(Transaksi!$C:$C,Transaksi!$J:$J,Dashboard!$C$8,Transaksi!$B:$B,"Keluar",Transaksi!$E:$E,$B24)</f>
        <v/>
      </c>
      <c r="D24" s="68">
        <f>IF($C$15=0,"",$C24/$C$15)</f>
        <v/>
      </c>
    </row>
    <row r="25" ht="18" customHeight="1">
      <c r="B25" s="59">
        <f>Kategori!$C$14</f>
        <v/>
      </c>
      <c r="C25" s="65">
        <f>SUMIFS(Transaksi!$C:$C,Transaksi!$J:$J,Dashboard!$C$8,Transaksi!$B:$B,"Keluar",Transaksi!$E:$E,$B25)</f>
        <v/>
      </c>
      <c r="D25" s="66">
        <f>IF($C$15=0,"",$C25/$C$15)</f>
        <v/>
      </c>
    </row>
    <row r="26" ht="18" customHeight="1">
      <c r="B26" s="55">
        <f>Kategori!$C$15</f>
        <v/>
      </c>
      <c r="C26" s="67">
        <f>SUMIFS(Transaksi!$C:$C,Transaksi!$J:$J,Dashboard!$C$8,Transaksi!$B:$B,"Keluar",Transaksi!$E:$E,$B26)</f>
        <v/>
      </c>
      <c r="D26" s="68">
        <f>IF($C$15=0,"",$C26/$C$15)</f>
        <v/>
      </c>
    </row>
    <row r="27" ht="18" customHeight="1">
      <c r="B27" s="59">
        <f>Kategori!$C$16</f>
        <v/>
      </c>
      <c r="C27" s="65">
        <f>SUMIFS(Transaksi!$C:$C,Transaksi!$J:$J,Dashboard!$C$8,Transaksi!$B:$B,"Keluar",Transaksi!$E:$E,$B27)</f>
        <v/>
      </c>
      <c r="D27" s="66">
        <f>IF($C$15=0,"",$C27/$C$15)</f>
        <v/>
      </c>
    </row>
    <row r="28" ht="18" customHeight="1">
      <c r="B28" s="55">
        <f>Kategori!$C$17</f>
        <v/>
      </c>
      <c r="C28" s="67">
        <f>SUMIFS(Transaksi!$C:$C,Transaksi!$J:$J,Dashboard!$C$8,Transaksi!$B:$B,"Keluar",Transaksi!$E:$E,$B28)</f>
        <v/>
      </c>
      <c r="D28" s="68">
        <f>IF($C$15=0,"",$C28/$C$15)</f>
        <v/>
      </c>
    </row>
    <row r="29" ht="18" customHeight="1">
      <c r="B29" s="59">
        <f>Kategori!$C$18</f>
        <v/>
      </c>
      <c r="C29" s="65">
        <f>SUMIFS(Transaksi!$C:$C,Transaksi!$J:$J,Dashboard!$C$8,Transaksi!$B:$B,"Keluar",Transaksi!$E:$E,$B29)</f>
        <v/>
      </c>
      <c r="D29" s="66">
        <f>IF($C$15=0,"",$C29/$C$15)</f>
        <v/>
      </c>
    </row>
    <row r="30" ht="18" customHeight="1">
      <c r="B30" s="55" t="inlineStr">
        <is>
          <t>Belum dikategorikan</t>
        </is>
      </c>
      <c r="C30" s="67">
        <f>SUMIFS(Transaksi!$C:$C,Transaksi!$J:$J,Dashboard!$C$8,Transaksi!$B:$B,"Keluar",Transaksi!$E:$E,"")</f>
        <v/>
      </c>
      <c r="D30" s="68">
        <f>IF($C$15=0,"",$C30/$C$15)</f>
        <v/>
      </c>
    </row>
    <row r="31" ht="22" customHeight="1">
      <c r="B31" s="72" t="inlineStr">
        <is>
          <t>TOTAL PENGELUARAN</t>
        </is>
      </c>
      <c r="C31" s="73">
        <f>SUM(C18:C30)</f>
        <v/>
      </c>
      <c r="D31" s="74">
        <f>IF($C$15=0,"",$C31/$C$15)</f>
        <v/>
      </c>
    </row>
    <row r="33" ht="30" customHeight="1">
      <c r="B33" s="75" t="inlineStr">
        <is>
          <t>LABA / RUGI BERSIH</t>
        </is>
      </c>
      <c r="C33" s="76">
        <f>C15-C31</f>
        <v/>
      </c>
      <c r="D33" s="77">
        <f>IF($C$15=0,"",$C33/$C$15)</f>
        <v/>
      </c>
    </row>
    <row r="35">
      <c r="B35" s="24" t="inlineStr">
        <is>
          <t>Catatan Admin untuk Pemilik Usaha</t>
        </is>
      </c>
    </row>
    <row r="36">
      <c r="B36" s="78" t="n"/>
      <c r="C36" s="79" t="n"/>
      <c r="D36" s="80" t="n"/>
    </row>
    <row r="37">
      <c r="B37" s="81" t="n"/>
      <c r="C37" s="82" t="n"/>
      <c r="D37" s="83" t="n"/>
    </row>
    <row r="38">
      <c r="B38" s="84" t="n"/>
      <c r="C38" s="85" t="n"/>
      <c r="D38" s="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B3:D3"/>
    <mergeCell ref="B36:D38"/>
    <mergeCell ref="B4:D4"/>
    <mergeCell ref="B6:D6"/>
    <mergeCell ref="B2:D2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9" customWidth="1" min="8" max="8"/>
  </cols>
  <sheetData>
    <row r="1">
      <c r="A1" s="87" t="inlineStr">
        <is>
          <t>Arus Kas Harian</t>
        </is>
      </c>
    </row>
    <row r="2">
      <c r="A2" s="3">
        <f>"Mengikuti Bulan &amp; Tahun di sheet Dashboard · "&amp;CHOOSE(Dashboard!$C$6,"Januari","Februari","Maret","April","Mei","Juni","Juli","Agustus","September","Oktober","November","Desember")&amp;" "&amp;Dashboard!$F$6</f>
        <v/>
      </c>
    </row>
    <row r="4" ht="26" customHeight="1">
      <c r="A4" s="19" t="inlineStr">
        <is>
          <t>Tanggal</t>
        </is>
      </c>
      <c r="B4" s="19" t="inlineStr">
        <is>
          <t>Uang Masuk</t>
        </is>
      </c>
      <c r="C4" s="19" t="inlineStr">
        <is>
          <t>Uang Keluar</t>
        </is>
      </c>
      <c r="D4" s="19" t="inlineStr">
        <is>
          <t>Selisih Hari Ini</t>
        </is>
      </c>
      <c r="E4" s="19" t="inlineStr">
        <is>
          <t>Saldo Berjalan</t>
        </is>
      </c>
      <c r="F4" s="19" t="inlineStr">
        <is>
          <t>Grafik Masuk</t>
        </is>
      </c>
      <c r="G4" s="19" t="inlineStr">
        <is>
          <t>Grafik Keluar</t>
        </is>
      </c>
      <c r="H4" s="19" t="inlineStr">
        <is>
          <t>Hari (bantu)</t>
        </is>
      </c>
    </row>
    <row r="5" ht="18" customHeight="1">
      <c r="A5" s="88">
        <f>IF(1&gt;DAY(EOMONTH(DATE(Dashboard!$F$6,Dashboard!$C$6,1),0)),"",DATE(Dashboard!$F$6,Dashboard!$C$6,1))</f>
        <v/>
      </c>
      <c r="B5" s="67">
        <f>IF($A5="","",SUMIFS(Transaksi!$C:$C,Transaksi!$A:$A,$A5,Transaksi!$B:$B,"Masuk"))</f>
        <v/>
      </c>
      <c r="C5" s="67">
        <f>IF($A5="","",SUMIFS(Transaksi!$C:$C,Transaksi!$A:$A,$A5,Transaksi!$B:$B,"Keluar"))</f>
        <v/>
      </c>
      <c r="D5" s="67">
        <f>IF($A5="","",$B5-$C5)</f>
        <v/>
      </c>
      <c r="E5" s="67">
        <f>IF($A5="","",IF('Profil Usaha'!$C$14="",0,'Profil Usaha'!$C$14)+SUMIFS(Transaksi!$C:$C,Transaksi!$A:$A,"&lt;"&amp;$A5,Transaksi!$B:$B,"Masuk")-SUMIFS(Transaksi!$C:$C,Transaksi!$A:$A,"&lt;"&amp;$A5,Transaksi!$B:$B,"Keluar")+$D5)</f>
        <v/>
      </c>
      <c r="F5" s="89">
        <f>IF(OR($A5="",$B5=0),"",REPT("█",MAX(1,ROUND(12*$B5/MAX($B$5:$B$35),0))))</f>
        <v/>
      </c>
      <c r="G5" s="90">
        <f>IF(OR($A5="",$C5=0),"",REPT("█",MAX(1,ROUND(12*$C5/MAX($C$5:$C$35),0))))</f>
        <v/>
      </c>
      <c r="H5" s="91">
        <f>IF($A5="","",DAY($A5))</f>
        <v/>
      </c>
    </row>
    <row r="6" ht="18" customHeight="1">
      <c r="A6" s="92">
        <f>IF(2&gt;DAY(EOMONTH(DATE(Dashboard!$F$6,Dashboard!$C$6,1),0)),"",DATE(Dashboard!$F$6,Dashboard!$C$6,2))</f>
        <v/>
      </c>
      <c r="B6" s="65">
        <f>IF($A6="","",SUMIFS(Transaksi!$C:$C,Transaksi!$A:$A,$A6,Transaksi!$B:$B,"Masuk"))</f>
        <v/>
      </c>
      <c r="C6" s="65">
        <f>IF($A6="","",SUMIFS(Transaksi!$C:$C,Transaksi!$A:$A,$A6,Transaksi!$B:$B,"Keluar"))</f>
        <v/>
      </c>
      <c r="D6" s="65">
        <f>IF($A6="","",$B6-$C6)</f>
        <v/>
      </c>
      <c r="E6" s="65">
        <f>IF($A6="","",$E5+$D6)</f>
        <v/>
      </c>
      <c r="F6" s="93">
        <f>IF(OR($A6="",$B6=0),"",REPT("█",MAX(1,ROUND(12*$B6/MAX($B$5:$B$35),0))))</f>
        <v/>
      </c>
      <c r="G6" s="94">
        <f>IF(OR($A6="",$C6=0),"",REPT("█",MAX(1,ROUND(12*$C6/MAX($C$5:$C$35),0))))</f>
        <v/>
      </c>
      <c r="H6" s="95">
        <f>IF($A6="","",DAY($A6))</f>
        <v/>
      </c>
    </row>
    <row r="7" ht="18" customHeight="1">
      <c r="A7" s="88">
        <f>IF(3&gt;DAY(EOMONTH(DATE(Dashboard!$F$6,Dashboard!$C$6,1),0)),"",DATE(Dashboard!$F$6,Dashboard!$C$6,3))</f>
        <v/>
      </c>
      <c r="B7" s="67">
        <f>IF($A7="","",SUMIFS(Transaksi!$C:$C,Transaksi!$A:$A,$A7,Transaksi!$B:$B,"Masuk"))</f>
        <v/>
      </c>
      <c r="C7" s="67">
        <f>IF($A7="","",SUMIFS(Transaksi!$C:$C,Transaksi!$A:$A,$A7,Transaksi!$B:$B,"Keluar"))</f>
        <v/>
      </c>
      <c r="D7" s="67">
        <f>IF($A7="","",$B7-$C7)</f>
        <v/>
      </c>
      <c r="E7" s="67">
        <f>IF($A7="","",$E6+$D7)</f>
        <v/>
      </c>
      <c r="F7" s="89">
        <f>IF(OR($A7="",$B7=0),"",REPT("█",MAX(1,ROUND(12*$B7/MAX($B$5:$B$35),0))))</f>
        <v/>
      </c>
      <c r="G7" s="90">
        <f>IF(OR($A7="",$C7=0),"",REPT("█",MAX(1,ROUND(12*$C7/MAX($C$5:$C$35),0))))</f>
        <v/>
      </c>
      <c r="H7" s="91">
        <f>IF($A7="","",DAY($A7))</f>
        <v/>
      </c>
    </row>
    <row r="8" ht="18" customHeight="1">
      <c r="A8" s="92">
        <f>IF(4&gt;DAY(EOMONTH(DATE(Dashboard!$F$6,Dashboard!$C$6,1),0)),"",DATE(Dashboard!$F$6,Dashboard!$C$6,4))</f>
        <v/>
      </c>
      <c r="B8" s="65">
        <f>IF($A8="","",SUMIFS(Transaksi!$C:$C,Transaksi!$A:$A,$A8,Transaksi!$B:$B,"Masuk"))</f>
        <v/>
      </c>
      <c r="C8" s="65">
        <f>IF($A8="","",SUMIFS(Transaksi!$C:$C,Transaksi!$A:$A,$A8,Transaksi!$B:$B,"Keluar"))</f>
        <v/>
      </c>
      <c r="D8" s="65">
        <f>IF($A8="","",$B8-$C8)</f>
        <v/>
      </c>
      <c r="E8" s="65">
        <f>IF($A8="","",$E7+$D8)</f>
        <v/>
      </c>
      <c r="F8" s="93">
        <f>IF(OR($A8="",$B8=0),"",REPT("█",MAX(1,ROUND(12*$B8/MAX($B$5:$B$35),0))))</f>
        <v/>
      </c>
      <c r="G8" s="94">
        <f>IF(OR($A8="",$C8=0),"",REPT("█",MAX(1,ROUND(12*$C8/MAX($C$5:$C$35),0))))</f>
        <v/>
      </c>
      <c r="H8" s="95">
        <f>IF($A8="","",DAY($A8))</f>
        <v/>
      </c>
    </row>
    <row r="9" ht="18" customHeight="1">
      <c r="A9" s="88">
        <f>IF(5&gt;DAY(EOMONTH(DATE(Dashboard!$F$6,Dashboard!$C$6,1),0)),"",DATE(Dashboard!$F$6,Dashboard!$C$6,5))</f>
        <v/>
      </c>
      <c r="B9" s="67">
        <f>IF($A9="","",SUMIFS(Transaksi!$C:$C,Transaksi!$A:$A,$A9,Transaksi!$B:$B,"Masuk"))</f>
        <v/>
      </c>
      <c r="C9" s="67">
        <f>IF($A9="","",SUMIFS(Transaksi!$C:$C,Transaksi!$A:$A,$A9,Transaksi!$B:$B,"Keluar"))</f>
        <v/>
      </c>
      <c r="D9" s="67">
        <f>IF($A9="","",$B9-$C9)</f>
        <v/>
      </c>
      <c r="E9" s="67">
        <f>IF($A9="","",$E8+$D9)</f>
        <v/>
      </c>
      <c r="F9" s="89">
        <f>IF(OR($A9="",$B9=0),"",REPT("█",MAX(1,ROUND(12*$B9/MAX($B$5:$B$35),0))))</f>
        <v/>
      </c>
      <c r="G9" s="90">
        <f>IF(OR($A9="",$C9=0),"",REPT("█",MAX(1,ROUND(12*$C9/MAX($C$5:$C$35),0))))</f>
        <v/>
      </c>
      <c r="H9" s="91">
        <f>IF($A9="","",DAY($A9))</f>
        <v/>
      </c>
    </row>
    <row r="10" ht="18" customHeight="1">
      <c r="A10" s="92">
        <f>IF(6&gt;DAY(EOMONTH(DATE(Dashboard!$F$6,Dashboard!$C$6,1),0)),"",DATE(Dashboard!$F$6,Dashboard!$C$6,6))</f>
        <v/>
      </c>
      <c r="B10" s="65">
        <f>IF($A10="","",SUMIFS(Transaksi!$C:$C,Transaksi!$A:$A,$A10,Transaksi!$B:$B,"Masuk"))</f>
        <v/>
      </c>
      <c r="C10" s="65">
        <f>IF($A10="","",SUMIFS(Transaksi!$C:$C,Transaksi!$A:$A,$A10,Transaksi!$B:$B,"Keluar"))</f>
        <v/>
      </c>
      <c r="D10" s="65">
        <f>IF($A10="","",$B10-$C10)</f>
        <v/>
      </c>
      <c r="E10" s="65">
        <f>IF($A10="","",$E9+$D10)</f>
        <v/>
      </c>
      <c r="F10" s="93">
        <f>IF(OR($A10="",$B10=0),"",REPT("█",MAX(1,ROUND(12*$B10/MAX($B$5:$B$35),0))))</f>
        <v/>
      </c>
      <c r="G10" s="94">
        <f>IF(OR($A10="",$C10=0),"",REPT("█",MAX(1,ROUND(12*$C10/MAX($C$5:$C$35),0))))</f>
        <v/>
      </c>
      <c r="H10" s="95">
        <f>IF($A10="","",DAY($A10))</f>
        <v/>
      </c>
    </row>
    <row r="11" ht="18" customHeight="1">
      <c r="A11" s="88">
        <f>IF(7&gt;DAY(EOMONTH(DATE(Dashboard!$F$6,Dashboard!$C$6,1),0)),"",DATE(Dashboard!$F$6,Dashboard!$C$6,7))</f>
        <v/>
      </c>
      <c r="B11" s="67">
        <f>IF($A11="","",SUMIFS(Transaksi!$C:$C,Transaksi!$A:$A,$A11,Transaksi!$B:$B,"Masuk"))</f>
        <v/>
      </c>
      <c r="C11" s="67">
        <f>IF($A11="","",SUMIFS(Transaksi!$C:$C,Transaksi!$A:$A,$A11,Transaksi!$B:$B,"Keluar"))</f>
        <v/>
      </c>
      <c r="D11" s="67">
        <f>IF($A11="","",$B11-$C11)</f>
        <v/>
      </c>
      <c r="E11" s="67">
        <f>IF($A11="","",$E10+$D11)</f>
        <v/>
      </c>
      <c r="F11" s="89">
        <f>IF(OR($A11="",$B11=0),"",REPT("█",MAX(1,ROUND(12*$B11/MAX($B$5:$B$35),0))))</f>
        <v/>
      </c>
      <c r="G11" s="90">
        <f>IF(OR($A11="",$C11=0),"",REPT("█",MAX(1,ROUND(12*$C11/MAX($C$5:$C$35),0))))</f>
        <v/>
      </c>
      <c r="H11" s="91">
        <f>IF($A11="","",DAY($A11))</f>
        <v/>
      </c>
    </row>
    <row r="12" ht="18" customHeight="1">
      <c r="A12" s="92">
        <f>IF(8&gt;DAY(EOMONTH(DATE(Dashboard!$F$6,Dashboard!$C$6,1),0)),"",DATE(Dashboard!$F$6,Dashboard!$C$6,8))</f>
        <v/>
      </c>
      <c r="B12" s="65">
        <f>IF($A12="","",SUMIFS(Transaksi!$C:$C,Transaksi!$A:$A,$A12,Transaksi!$B:$B,"Masuk"))</f>
        <v/>
      </c>
      <c r="C12" s="65">
        <f>IF($A12="","",SUMIFS(Transaksi!$C:$C,Transaksi!$A:$A,$A12,Transaksi!$B:$B,"Keluar"))</f>
        <v/>
      </c>
      <c r="D12" s="65">
        <f>IF($A12="","",$B12-$C12)</f>
        <v/>
      </c>
      <c r="E12" s="65">
        <f>IF($A12="","",$E11+$D12)</f>
        <v/>
      </c>
      <c r="F12" s="93">
        <f>IF(OR($A12="",$B12=0),"",REPT("█",MAX(1,ROUND(12*$B12/MAX($B$5:$B$35),0))))</f>
        <v/>
      </c>
      <c r="G12" s="94">
        <f>IF(OR($A12="",$C12=0),"",REPT("█",MAX(1,ROUND(12*$C12/MAX($C$5:$C$35),0))))</f>
        <v/>
      </c>
      <c r="H12" s="95">
        <f>IF($A12="","",DAY($A12))</f>
        <v/>
      </c>
    </row>
    <row r="13" ht="18" customHeight="1">
      <c r="A13" s="88">
        <f>IF(9&gt;DAY(EOMONTH(DATE(Dashboard!$F$6,Dashboard!$C$6,1),0)),"",DATE(Dashboard!$F$6,Dashboard!$C$6,9))</f>
        <v/>
      </c>
      <c r="B13" s="67">
        <f>IF($A13="","",SUMIFS(Transaksi!$C:$C,Transaksi!$A:$A,$A13,Transaksi!$B:$B,"Masuk"))</f>
        <v/>
      </c>
      <c r="C13" s="67">
        <f>IF($A13="","",SUMIFS(Transaksi!$C:$C,Transaksi!$A:$A,$A13,Transaksi!$B:$B,"Keluar"))</f>
        <v/>
      </c>
      <c r="D13" s="67">
        <f>IF($A13="","",$B13-$C13)</f>
        <v/>
      </c>
      <c r="E13" s="67">
        <f>IF($A13="","",$E12+$D13)</f>
        <v/>
      </c>
      <c r="F13" s="89">
        <f>IF(OR($A13="",$B13=0),"",REPT("█",MAX(1,ROUND(12*$B13/MAX($B$5:$B$35),0))))</f>
        <v/>
      </c>
      <c r="G13" s="90">
        <f>IF(OR($A13="",$C13=0),"",REPT("█",MAX(1,ROUND(12*$C13/MAX($C$5:$C$35),0))))</f>
        <v/>
      </c>
      <c r="H13" s="91">
        <f>IF($A13="","",DAY($A13))</f>
        <v/>
      </c>
    </row>
    <row r="14" ht="18" customHeight="1">
      <c r="A14" s="92">
        <f>IF(10&gt;DAY(EOMONTH(DATE(Dashboard!$F$6,Dashboard!$C$6,1),0)),"",DATE(Dashboard!$F$6,Dashboard!$C$6,10))</f>
        <v/>
      </c>
      <c r="B14" s="65">
        <f>IF($A14="","",SUMIFS(Transaksi!$C:$C,Transaksi!$A:$A,$A14,Transaksi!$B:$B,"Masuk"))</f>
        <v/>
      </c>
      <c r="C14" s="65">
        <f>IF($A14="","",SUMIFS(Transaksi!$C:$C,Transaksi!$A:$A,$A14,Transaksi!$B:$B,"Keluar"))</f>
        <v/>
      </c>
      <c r="D14" s="65">
        <f>IF($A14="","",$B14-$C14)</f>
        <v/>
      </c>
      <c r="E14" s="65">
        <f>IF($A14="","",$E13+$D14)</f>
        <v/>
      </c>
      <c r="F14" s="93">
        <f>IF(OR($A14="",$B14=0),"",REPT("█",MAX(1,ROUND(12*$B14/MAX($B$5:$B$35),0))))</f>
        <v/>
      </c>
      <c r="G14" s="94">
        <f>IF(OR($A14="",$C14=0),"",REPT("█",MAX(1,ROUND(12*$C14/MAX($C$5:$C$35),0))))</f>
        <v/>
      </c>
      <c r="H14" s="95">
        <f>IF($A14="","",DAY($A14))</f>
        <v/>
      </c>
    </row>
    <row r="15" ht="18" customHeight="1">
      <c r="A15" s="88">
        <f>IF(11&gt;DAY(EOMONTH(DATE(Dashboard!$F$6,Dashboard!$C$6,1),0)),"",DATE(Dashboard!$F$6,Dashboard!$C$6,11))</f>
        <v/>
      </c>
      <c r="B15" s="67">
        <f>IF($A15="","",SUMIFS(Transaksi!$C:$C,Transaksi!$A:$A,$A15,Transaksi!$B:$B,"Masuk"))</f>
        <v/>
      </c>
      <c r="C15" s="67">
        <f>IF($A15="","",SUMIFS(Transaksi!$C:$C,Transaksi!$A:$A,$A15,Transaksi!$B:$B,"Keluar"))</f>
        <v/>
      </c>
      <c r="D15" s="67">
        <f>IF($A15="","",$B15-$C15)</f>
        <v/>
      </c>
      <c r="E15" s="67">
        <f>IF($A15="","",$E14+$D15)</f>
        <v/>
      </c>
      <c r="F15" s="89">
        <f>IF(OR($A15="",$B15=0),"",REPT("█",MAX(1,ROUND(12*$B15/MAX($B$5:$B$35),0))))</f>
        <v/>
      </c>
      <c r="G15" s="90">
        <f>IF(OR($A15="",$C15=0),"",REPT("█",MAX(1,ROUND(12*$C15/MAX($C$5:$C$35),0))))</f>
        <v/>
      </c>
      <c r="H15" s="91">
        <f>IF($A15="","",DAY($A15))</f>
        <v/>
      </c>
    </row>
    <row r="16" ht="18" customHeight="1">
      <c r="A16" s="92">
        <f>IF(12&gt;DAY(EOMONTH(DATE(Dashboard!$F$6,Dashboard!$C$6,1),0)),"",DATE(Dashboard!$F$6,Dashboard!$C$6,12))</f>
        <v/>
      </c>
      <c r="B16" s="65">
        <f>IF($A16="","",SUMIFS(Transaksi!$C:$C,Transaksi!$A:$A,$A16,Transaksi!$B:$B,"Masuk"))</f>
        <v/>
      </c>
      <c r="C16" s="65">
        <f>IF($A16="","",SUMIFS(Transaksi!$C:$C,Transaksi!$A:$A,$A16,Transaksi!$B:$B,"Keluar"))</f>
        <v/>
      </c>
      <c r="D16" s="65">
        <f>IF($A16="","",$B16-$C16)</f>
        <v/>
      </c>
      <c r="E16" s="65">
        <f>IF($A16="","",$E15+$D16)</f>
        <v/>
      </c>
      <c r="F16" s="93">
        <f>IF(OR($A16="",$B16=0),"",REPT("█",MAX(1,ROUND(12*$B16/MAX($B$5:$B$35),0))))</f>
        <v/>
      </c>
      <c r="G16" s="94">
        <f>IF(OR($A16="",$C16=0),"",REPT("█",MAX(1,ROUND(12*$C16/MAX($C$5:$C$35),0))))</f>
        <v/>
      </c>
      <c r="H16" s="95">
        <f>IF($A16="","",DAY($A16))</f>
        <v/>
      </c>
    </row>
    <row r="17" ht="18" customHeight="1">
      <c r="A17" s="88">
        <f>IF(13&gt;DAY(EOMONTH(DATE(Dashboard!$F$6,Dashboard!$C$6,1),0)),"",DATE(Dashboard!$F$6,Dashboard!$C$6,13))</f>
        <v/>
      </c>
      <c r="B17" s="67">
        <f>IF($A17="","",SUMIFS(Transaksi!$C:$C,Transaksi!$A:$A,$A17,Transaksi!$B:$B,"Masuk"))</f>
        <v/>
      </c>
      <c r="C17" s="67">
        <f>IF($A17="","",SUMIFS(Transaksi!$C:$C,Transaksi!$A:$A,$A17,Transaksi!$B:$B,"Keluar"))</f>
        <v/>
      </c>
      <c r="D17" s="67">
        <f>IF($A17="","",$B17-$C17)</f>
        <v/>
      </c>
      <c r="E17" s="67">
        <f>IF($A17="","",$E16+$D17)</f>
        <v/>
      </c>
      <c r="F17" s="89">
        <f>IF(OR($A17="",$B17=0),"",REPT("█",MAX(1,ROUND(12*$B17/MAX($B$5:$B$35),0))))</f>
        <v/>
      </c>
      <c r="G17" s="90">
        <f>IF(OR($A17="",$C17=0),"",REPT("█",MAX(1,ROUND(12*$C17/MAX($C$5:$C$35),0))))</f>
        <v/>
      </c>
      <c r="H17" s="91">
        <f>IF($A17="","",DAY($A17))</f>
        <v/>
      </c>
    </row>
    <row r="18" ht="18" customHeight="1">
      <c r="A18" s="92">
        <f>IF(14&gt;DAY(EOMONTH(DATE(Dashboard!$F$6,Dashboard!$C$6,1),0)),"",DATE(Dashboard!$F$6,Dashboard!$C$6,14))</f>
        <v/>
      </c>
      <c r="B18" s="65">
        <f>IF($A18="","",SUMIFS(Transaksi!$C:$C,Transaksi!$A:$A,$A18,Transaksi!$B:$B,"Masuk"))</f>
        <v/>
      </c>
      <c r="C18" s="65">
        <f>IF($A18="","",SUMIFS(Transaksi!$C:$C,Transaksi!$A:$A,$A18,Transaksi!$B:$B,"Keluar"))</f>
        <v/>
      </c>
      <c r="D18" s="65">
        <f>IF($A18="","",$B18-$C18)</f>
        <v/>
      </c>
      <c r="E18" s="65">
        <f>IF($A18="","",$E17+$D18)</f>
        <v/>
      </c>
      <c r="F18" s="93">
        <f>IF(OR($A18="",$B18=0),"",REPT("█",MAX(1,ROUND(12*$B18/MAX($B$5:$B$35),0))))</f>
        <v/>
      </c>
      <c r="G18" s="94">
        <f>IF(OR($A18="",$C18=0),"",REPT("█",MAX(1,ROUND(12*$C18/MAX($C$5:$C$35),0))))</f>
        <v/>
      </c>
      <c r="H18" s="95">
        <f>IF($A18="","",DAY($A18))</f>
        <v/>
      </c>
    </row>
    <row r="19" ht="18" customHeight="1">
      <c r="A19" s="88">
        <f>IF(15&gt;DAY(EOMONTH(DATE(Dashboard!$F$6,Dashboard!$C$6,1),0)),"",DATE(Dashboard!$F$6,Dashboard!$C$6,15))</f>
        <v/>
      </c>
      <c r="B19" s="67">
        <f>IF($A19="","",SUMIFS(Transaksi!$C:$C,Transaksi!$A:$A,$A19,Transaksi!$B:$B,"Masuk"))</f>
        <v/>
      </c>
      <c r="C19" s="67">
        <f>IF($A19="","",SUMIFS(Transaksi!$C:$C,Transaksi!$A:$A,$A19,Transaksi!$B:$B,"Keluar"))</f>
        <v/>
      </c>
      <c r="D19" s="67">
        <f>IF($A19="","",$B19-$C19)</f>
        <v/>
      </c>
      <c r="E19" s="67">
        <f>IF($A19="","",$E18+$D19)</f>
        <v/>
      </c>
      <c r="F19" s="89">
        <f>IF(OR($A19="",$B19=0),"",REPT("█",MAX(1,ROUND(12*$B19/MAX($B$5:$B$35),0))))</f>
        <v/>
      </c>
      <c r="G19" s="90">
        <f>IF(OR($A19="",$C19=0),"",REPT("█",MAX(1,ROUND(12*$C19/MAX($C$5:$C$35),0))))</f>
        <v/>
      </c>
      <c r="H19" s="91">
        <f>IF($A19="","",DAY($A19))</f>
        <v/>
      </c>
    </row>
    <row r="20" ht="18" customHeight="1">
      <c r="A20" s="92">
        <f>IF(16&gt;DAY(EOMONTH(DATE(Dashboard!$F$6,Dashboard!$C$6,1),0)),"",DATE(Dashboard!$F$6,Dashboard!$C$6,16))</f>
        <v/>
      </c>
      <c r="B20" s="65">
        <f>IF($A20="","",SUMIFS(Transaksi!$C:$C,Transaksi!$A:$A,$A20,Transaksi!$B:$B,"Masuk"))</f>
        <v/>
      </c>
      <c r="C20" s="65">
        <f>IF($A20="","",SUMIFS(Transaksi!$C:$C,Transaksi!$A:$A,$A20,Transaksi!$B:$B,"Keluar"))</f>
        <v/>
      </c>
      <c r="D20" s="65">
        <f>IF($A20="","",$B20-$C20)</f>
        <v/>
      </c>
      <c r="E20" s="65">
        <f>IF($A20="","",$E19+$D20)</f>
        <v/>
      </c>
      <c r="F20" s="93">
        <f>IF(OR($A20="",$B20=0),"",REPT("█",MAX(1,ROUND(12*$B20/MAX($B$5:$B$35),0))))</f>
        <v/>
      </c>
      <c r="G20" s="94">
        <f>IF(OR($A20="",$C20=0),"",REPT("█",MAX(1,ROUND(12*$C20/MAX($C$5:$C$35),0))))</f>
        <v/>
      </c>
      <c r="H20" s="95">
        <f>IF($A20="","",DAY($A20))</f>
        <v/>
      </c>
    </row>
    <row r="21" ht="18" customHeight="1">
      <c r="A21" s="88">
        <f>IF(17&gt;DAY(EOMONTH(DATE(Dashboard!$F$6,Dashboard!$C$6,1),0)),"",DATE(Dashboard!$F$6,Dashboard!$C$6,17))</f>
        <v/>
      </c>
      <c r="B21" s="67">
        <f>IF($A21="","",SUMIFS(Transaksi!$C:$C,Transaksi!$A:$A,$A21,Transaksi!$B:$B,"Masuk"))</f>
        <v/>
      </c>
      <c r="C21" s="67">
        <f>IF($A21="","",SUMIFS(Transaksi!$C:$C,Transaksi!$A:$A,$A21,Transaksi!$B:$B,"Keluar"))</f>
        <v/>
      </c>
      <c r="D21" s="67">
        <f>IF($A21="","",$B21-$C21)</f>
        <v/>
      </c>
      <c r="E21" s="67">
        <f>IF($A21="","",$E20+$D21)</f>
        <v/>
      </c>
      <c r="F21" s="89">
        <f>IF(OR($A21="",$B21=0),"",REPT("█",MAX(1,ROUND(12*$B21/MAX($B$5:$B$35),0))))</f>
        <v/>
      </c>
      <c r="G21" s="90">
        <f>IF(OR($A21="",$C21=0),"",REPT("█",MAX(1,ROUND(12*$C21/MAX($C$5:$C$35),0))))</f>
        <v/>
      </c>
      <c r="H21" s="91">
        <f>IF($A21="","",DAY($A21))</f>
        <v/>
      </c>
    </row>
    <row r="22" ht="18" customHeight="1">
      <c r="A22" s="92">
        <f>IF(18&gt;DAY(EOMONTH(DATE(Dashboard!$F$6,Dashboard!$C$6,1),0)),"",DATE(Dashboard!$F$6,Dashboard!$C$6,18))</f>
        <v/>
      </c>
      <c r="B22" s="65">
        <f>IF($A22="","",SUMIFS(Transaksi!$C:$C,Transaksi!$A:$A,$A22,Transaksi!$B:$B,"Masuk"))</f>
        <v/>
      </c>
      <c r="C22" s="65">
        <f>IF($A22="","",SUMIFS(Transaksi!$C:$C,Transaksi!$A:$A,$A22,Transaksi!$B:$B,"Keluar"))</f>
        <v/>
      </c>
      <c r="D22" s="65">
        <f>IF($A22="","",$B22-$C22)</f>
        <v/>
      </c>
      <c r="E22" s="65">
        <f>IF($A22="","",$E21+$D22)</f>
        <v/>
      </c>
      <c r="F22" s="93">
        <f>IF(OR($A22="",$B22=0),"",REPT("█",MAX(1,ROUND(12*$B22/MAX($B$5:$B$35),0))))</f>
        <v/>
      </c>
      <c r="G22" s="94">
        <f>IF(OR($A22="",$C22=0),"",REPT("█",MAX(1,ROUND(12*$C22/MAX($C$5:$C$35),0))))</f>
        <v/>
      </c>
      <c r="H22" s="95">
        <f>IF($A22="","",DAY($A22))</f>
        <v/>
      </c>
    </row>
    <row r="23" ht="18" customHeight="1">
      <c r="A23" s="88">
        <f>IF(19&gt;DAY(EOMONTH(DATE(Dashboard!$F$6,Dashboard!$C$6,1),0)),"",DATE(Dashboard!$F$6,Dashboard!$C$6,19))</f>
        <v/>
      </c>
      <c r="B23" s="67">
        <f>IF($A23="","",SUMIFS(Transaksi!$C:$C,Transaksi!$A:$A,$A23,Transaksi!$B:$B,"Masuk"))</f>
        <v/>
      </c>
      <c r="C23" s="67">
        <f>IF($A23="","",SUMIFS(Transaksi!$C:$C,Transaksi!$A:$A,$A23,Transaksi!$B:$B,"Keluar"))</f>
        <v/>
      </c>
      <c r="D23" s="67">
        <f>IF($A23="","",$B23-$C23)</f>
        <v/>
      </c>
      <c r="E23" s="67">
        <f>IF($A23="","",$E22+$D23)</f>
        <v/>
      </c>
      <c r="F23" s="89">
        <f>IF(OR($A23="",$B23=0),"",REPT("█",MAX(1,ROUND(12*$B23/MAX($B$5:$B$35),0))))</f>
        <v/>
      </c>
      <c r="G23" s="90">
        <f>IF(OR($A23="",$C23=0),"",REPT("█",MAX(1,ROUND(12*$C23/MAX($C$5:$C$35),0))))</f>
        <v/>
      </c>
      <c r="H23" s="91">
        <f>IF($A23="","",DAY($A23))</f>
        <v/>
      </c>
    </row>
    <row r="24" ht="18" customHeight="1">
      <c r="A24" s="92">
        <f>IF(20&gt;DAY(EOMONTH(DATE(Dashboard!$F$6,Dashboard!$C$6,1),0)),"",DATE(Dashboard!$F$6,Dashboard!$C$6,20))</f>
        <v/>
      </c>
      <c r="B24" s="65">
        <f>IF($A24="","",SUMIFS(Transaksi!$C:$C,Transaksi!$A:$A,$A24,Transaksi!$B:$B,"Masuk"))</f>
        <v/>
      </c>
      <c r="C24" s="65">
        <f>IF($A24="","",SUMIFS(Transaksi!$C:$C,Transaksi!$A:$A,$A24,Transaksi!$B:$B,"Keluar"))</f>
        <v/>
      </c>
      <c r="D24" s="65">
        <f>IF($A24="","",$B24-$C24)</f>
        <v/>
      </c>
      <c r="E24" s="65">
        <f>IF($A24="","",$E23+$D24)</f>
        <v/>
      </c>
      <c r="F24" s="93">
        <f>IF(OR($A24="",$B24=0),"",REPT("█",MAX(1,ROUND(12*$B24/MAX($B$5:$B$35),0))))</f>
        <v/>
      </c>
      <c r="G24" s="94">
        <f>IF(OR($A24="",$C24=0),"",REPT("█",MAX(1,ROUND(12*$C24/MAX($C$5:$C$35),0))))</f>
        <v/>
      </c>
      <c r="H24" s="95">
        <f>IF($A24="","",DAY($A24))</f>
        <v/>
      </c>
    </row>
    <row r="25" ht="18" customHeight="1">
      <c r="A25" s="88">
        <f>IF(21&gt;DAY(EOMONTH(DATE(Dashboard!$F$6,Dashboard!$C$6,1),0)),"",DATE(Dashboard!$F$6,Dashboard!$C$6,21))</f>
        <v/>
      </c>
      <c r="B25" s="67">
        <f>IF($A25="","",SUMIFS(Transaksi!$C:$C,Transaksi!$A:$A,$A25,Transaksi!$B:$B,"Masuk"))</f>
        <v/>
      </c>
      <c r="C25" s="67">
        <f>IF($A25="","",SUMIFS(Transaksi!$C:$C,Transaksi!$A:$A,$A25,Transaksi!$B:$B,"Keluar"))</f>
        <v/>
      </c>
      <c r="D25" s="67">
        <f>IF($A25="","",$B25-$C25)</f>
        <v/>
      </c>
      <c r="E25" s="67">
        <f>IF($A25="","",$E24+$D25)</f>
        <v/>
      </c>
      <c r="F25" s="89">
        <f>IF(OR($A25="",$B25=0),"",REPT("█",MAX(1,ROUND(12*$B25/MAX($B$5:$B$35),0))))</f>
        <v/>
      </c>
      <c r="G25" s="90">
        <f>IF(OR($A25="",$C25=0),"",REPT("█",MAX(1,ROUND(12*$C25/MAX($C$5:$C$35),0))))</f>
        <v/>
      </c>
      <c r="H25" s="91">
        <f>IF($A25="","",DAY($A25))</f>
        <v/>
      </c>
    </row>
    <row r="26" ht="18" customHeight="1">
      <c r="A26" s="92">
        <f>IF(22&gt;DAY(EOMONTH(DATE(Dashboard!$F$6,Dashboard!$C$6,1),0)),"",DATE(Dashboard!$F$6,Dashboard!$C$6,22))</f>
        <v/>
      </c>
      <c r="B26" s="65">
        <f>IF($A26="","",SUMIFS(Transaksi!$C:$C,Transaksi!$A:$A,$A26,Transaksi!$B:$B,"Masuk"))</f>
        <v/>
      </c>
      <c r="C26" s="65">
        <f>IF($A26="","",SUMIFS(Transaksi!$C:$C,Transaksi!$A:$A,$A26,Transaksi!$B:$B,"Keluar"))</f>
        <v/>
      </c>
      <c r="D26" s="65">
        <f>IF($A26="","",$B26-$C26)</f>
        <v/>
      </c>
      <c r="E26" s="65">
        <f>IF($A26="","",$E25+$D26)</f>
        <v/>
      </c>
      <c r="F26" s="93">
        <f>IF(OR($A26="",$B26=0),"",REPT("█",MAX(1,ROUND(12*$B26/MAX($B$5:$B$35),0))))</f>
        <v/>
      </c>
      <c r="G26" s="94">
        <f>IF(OR($A26="",$C26=0),"",REPT("█",MAX(1,ROUND(12*$C26/MAX($C$5:$C$35),0))))</f>
        <v/>
      </c>
      <c r="H26" s="95">
        <f>IF($A26="","",DAY($A26))</f>
        <v/>
      </c>
    </row>
    <row r="27" ht="18" customHeight="1">
      <c r="A27" s="88">
        <f>IF(23&gt;DAY(EOMONTH(DATE(Dashboard!$F$6,Dashboard!$C$6,1),0)),"",DATE(Dashboard!$F$6,Dashboard!$C$6,23))</f>
        <v/>
      </c>
      <c r="B27" s="67">
        <f>IF($A27="","",SUMIFS(Transaksi!$C:$C,Transaksi!$A:$A,$A27,Transaksi!$B:$B,"Masuk"))</f>
        <v/>
      </c>
      <c r="C27" s="67">
        <f>IF($A27="","",SUMIFS(Transaksi!$C:$C,Transaksi!$A:$A,$A27,Transaksi!$B:$B,"Keluar"))</f>
        <v/>
      </c>
      <c r="D27" s="67">
        <f>IF($A27="","",$B27-$C27)</f>
        <v/>
      </c>
      <c r="E27" s="67">
        <f>IF($A27="","",$E26+$D27)</f>
        <v/>
      </c>
      <c r="F27" s="89">
        <f>IF(OR($A27="",$B27=0),"",REPT("█",MAX(1,ROUND(12*$B27/MAX($B$5:$B$35),0))))</f>
        <v/>
      </c>
      <c r="G27" s="90">
        <f>IF(OR($A27="",$C27=0),"",REPT("█",MAX(1,ROUND(12*$C27/MAX($C$5:$C$35),0))))</f>
        <v/>
      </c>
      <c r="H27" s="91">
        <f>IF($A27="","",DAY($A27))</f>
        <v/>
      </c>
    </row>
    <row r="28" ht="18" customHeight="1">
      <c r="A28" s="92">
        <f>IF(24&gt;DAY(EOMONTH(DATE(Dashboard!$F$6,Dashboard!$C$6,1),0)),"",DATE(Dashboard!$F$6,Dashboard!$C$6,24))</f>
        <v/>
      </c>
      <c r="B28" s="65">
        <f>IF($A28="","",SUMIFS(Transaksi!$C:$C,Transaksi!$A:$A,$A28,Transaksi!$B:$B,"Masuk"))</f>
        <v/>
      </c>
      <c r="C28" s="65">
        <f>IF($A28="","",SUMIFS(Transaksi!$C:$C,Transaksi!$A:$A,$A28,Transaksi!$B:$B,"Keluar"))</f>
        <v/>
      </c>
      <c r="D28" s="65">
        <f>IF($A28="","",$B28-$C28)</f>
        <v/>
      </c>
      <c r="E28" s="65">
        <f>IF($A28="","",$E27+$D28)</f>
        <v/>
      </c>
      <c r="F28" s="93">
        <f>IF(OR($A28="",$B28=0),"",REPT("█",MAX(1,ROUND(12*$B28/MAX($B$5:$B$35),0))))</f>
        <v/>
      </c>
      <c r="G28" s="94">
        <f>IF(OR($A28="",$C28=0),"",REPT("█",MAX(1,ROUND(12*$C28/MAX($C$5:$C$35),0))))</f>
        <v/>
      </c>
      <c r="H28" s="95">
        <f>IF($A28="","",DAY($A28))</f>
        <v/>
      </c>
    </row>
    <row r="29" ht="18" customHeight="1">
      <c r="A29" s="88">
        <f>IF(25&gt;DAY(EOMONTH(DATE(Dashboard!$F$6,Dashboard!$C$6,1),0)),"",DATE(Dashboard!$F$6,Dashboard!$C$6,25))</f>
        <v/>
      </c>
      <c r="B29" s="67">
        <f>IF($A29="","",SUMIFS(Transaksi!$C:$C,Transaksi!$A:$A,$A29,Transaksi!$B:$B,"Masuk"))</f>
        <v/>
      </c>
      <c r="C29" s="67">
        <f>IF($A29="","",SUMIFS(Transaksi!$C:$C,Transaksi!$A:$A,$A29,Transaksi!$B:$B,"Keluar"))</f>
        <v/>
      </c>
      <c r="D29" s="67">
        <f>IF($A29="","",$B29-$C29)</f>
        <v/>
      </c>
      <c r="E29" s="67">
        <f>IF($A29="","",$E28+$D29)</f>
        <v/>
      </c>
      <c r="F29" s="89">
        <f>IF(OR($A29="",$B29=0),"",REPT("█",MAX(1,ROUND(12*$B29/MAX($B$5:$B$35),0))))</f>
        <v/>
      </c>
      <c r="G29" s="90">
        <f>IF(OR($A29="",$C29=0),"",REPT("█",MAX(1,ROUND(12*$C29/MAX($C$5:$C$35),0))))</f>
        <v/>
      </c>
      <c r="H29" s="91">
        <f>IF($A29="","",DAY($A29))</f>
        <v/>
      </c>
    </row>
    <row r="30" ht="18" customHeight="1">
      <c r="A30" s="92">
        <f>IF(26&gt;DAY(EOMONTH(DATE(Dashboard!$F$6,Dashboard!$C$6,1),0)),"",DATE(Dashboard!$F$6,Dashboard!$C$6,26))</f>
        <v/>
      </c>
      <c r="B30" s="65">
        <f>IF($A30="","",SUMIFS(Transaksi!$C:$C,Transaksi!$A:$A,$A30,Transaksi!$B:$B,"Masuk"))</f>
        <v/>
      </c>
      <c r="C30" s="65">
        <f>IF($A30="","",SUMIFS(Transaksi!$C:$C,Transaksi!$A:$A,$A30,Transaksi!$B:$B,"Keluar"))</f>
        <v/>
      </c>
      <c r="D30" s="65">
        <f>IF($A30="","",$B30-$C30)</f>
        <v/>
      </c>
      <c r="E30" s="65">
        <f>IF($A30="","",$E29+$D30)</f>
        <v/>
      </c>
      <c r="F30" s="93">
        <f>IF(OR($A30="",$B30=0),"",REPT("█",MAX(1,ROUND(12*$B30/MAX($B$5:$B$35),0))))</f>
        <v/>
      </c>
      <c r="G30" s="94">
        <f>IF(OR($A30="",$C30=0),"",REPT("█",MAX(1,ROUND(12*$C30/MAX($C$5:$C$35),0))))</f>
        <v/>
      </c>
      <c r="H30" s="95">
        <f>IF($A30="","",DAY($A30))</f>
        <v/>
      </c>
    </row>
    <row r="31" ht="18" customHeight="1">
      <c r="A31" s="88">
        <f>IF(27&gt;DAY(EOMONTH(DATE(Dashboard!$F$6,Dashboard!$C$6,1),0)),"",DATE(Dashboard!$F$6,Dashboard!$C$6,27))</f>
        <v/>
      </c>
      <c r="B31" s="67">
        <f>IF($A31="","",SUMIFS(Transaksi!$C:$C,Transaksi!$A:$A,$A31,Transaksi!$B:$B,"Masuk"))</f>
        <v/>
      </c>
      <c r="C31" s="67">
        <f>IF($A31="","",SUMIFS(Transaksi!$C:$C,Transaksi!$A:$A,$A31,Transaksi!$B:$B,"Keluar"))</f>
        <v/>
      </c>
      <c r="D31" s="67">
        <f>IF($A31="","",$B31-$C31)</f>
        <v/>
      </c>
      <c r="E31" s="67">
        <f>IF($A31="","",$E30+$D31)</f>
        <v/>
      </c>
      <c r="F31" s="89">
        <f>IF(OR($A31="",$B31=0),"",REPT("█",MAX(1,ROUND(12*$B31/MAX($B$5:$B$35),0))))</f>
        <v/>
      </c>
      <c r="G31" s="90">
        <f>IF(OR($A31="",$C31=0),"",REPT("█",MAX(1,ROUND(12*$C31/MAX($C$5:$C$35),0))))</f>
        <v/>
      </c>
      <c r="H31" s="91">
        <f>IF($A31="","",DAY($A31))</f>
        <v/>
      </c>
    </row>
    <row r="32" ht="18" customHeight="1">
      <c r="A32" s="92">
        <f>IF(28&gt;DAY(EOMONTH(DATE(Dashboard!$F$6,Dashboard!$C$6,1),0)),"",DATE(Dashboard!$F$6,Dashboard!$C$6,28))</f>
        <v/>
      </c>
      <c r="B32" s="65">
        <f>IF($A32="","",SUMIFS(Transaksi!$C:$C,Transaksi!$A:$A,$A32,Transaksi!$B:$B,"Masuk"))</f>
        <v/>
      </c>
      <c r="C32" s="65">
        <f>IF($A32="","",SUMIFS(Transaksi!$C:$C,Transaksi!$A:$A,$A32,Transaksi!$B:$B,"Keluar"))</f>
        <v/>
      </c>
      <c r="D32" s="65">
        <f>IF($A32="","",$B32-$C32)</f>
        <v/>
      </c>
      <c r="E32" s="65">
        <f>IF($A32="","",$E31+$D32)</f>
        <v/>
      </c>
      <c r="F32" s="93">
        <f>IF(OR($A32="",$B32=0),"",REPT("█",MAX(1,ROUND(12*$B32/MAX($B$5:$B$35),0))))</f>
        <v/>
      </c>
      <c r="G32" s="94">
        <f>IF(OR($A32="",$C32=0),"",REPT("█",MAX(1,ROUND(12*$C32/MAX($C$5:$C$35),0))))</f>
        <v/>
      </c>
      <c r="H32" s="95">
        <f>IF($A32="","",DAY($A32))</f>
        <v/>
      </c>
    </row>
    <row r="33" ht="18" customHeight="1">
      <c r="A33" s="88">
        <f>IF(29&gt;DAY(EOMONTH(DATE(Dashboard!$F$6,Dashboard!$C$6,1),0)),"",DATE(Dashboard!$F$6,Dashboard!$C$6,29))</f>
        <v/>
      </c>
      <c r="B33" s="67">
        <f>IF($A33="","",SUMIFS(Transaksi!$C:$C,Transaksi!$A:$A,$A33,Transaksi!$B:$B,"Masuk"))</f>
        <v/>
      </c>
      <c r="C33" s="67">
        <f>IF($A33="","",SUMIFS(Transaksi!$C:$C,Transaksi!$A:$A,$A33,Transaksi!$B:$B,"Keluar"))</f>
        <v/>
      </c>
      <c r="D33" s="67">
        <f>IF($A33="","",$B33-$C33)</f>
        <v/>
      </c>
      <c r="E33" s="67">
        <f>IF($A33="","",$E32+$D33)</f>
        <v/>
      </c>
      <c r="F33" s="89">
        <f>IF(OR($A33="",$B33=0),"",REPT("█",MAX(1,ROUND(12*$B33/MAX($B$5:$B$35),0))))</f>
        <v/>
      </c>
      <c r="G33" s="90">
        <f>IF(OR($A33="",$C33=0),"",REPT("█",MAX(1,ROUND(12*$C33/MAX($C$5:$C$35),0))))</f>
        <v/>
      </c>
      <c r="H33" s="91">
        <f>IF($A33="","",DAY($A33))</f>
        <v/>
      </c>
    </row>
    <row r="34" ht="18" customHeight="1">
      <c r="A34" s="92">
        <f>IF(30&gt;DAY(EOMONTH(DATE(Dashboard!$F$6,Dashboard!$C$6,1),0)),"",DATE(Dashboard!$F$6,Dashboard!$C$6,30))</f>
        <v/>
      </c>
      <c r="B34" s="65">
        <f>IF($A34="","",SUMIFS(Transaksi!$C:$C,Transaksi!$A:$A,$A34,Transaksi!$B:$B,"Masuk"))</f>
        <v/>
      </c>
      <c r="C34" s="65">
        <f>IF($A34="","",SUMIFS(Transaksi!$C:$C,Transaksi!$A:$A,$A34,Transaksi!$B:$B,"Keluar"))</f>
        <v/>
      </c>
      <c r="D34" s="65">
        <f>IF($A34="","",$B34-$C34)</f>
        <v/>
      </c>
      <c r="E34" s="65">
        <f>IF($A34="","",$E33+$D34)</f>
        <v/>
      </c>
      <c r="F34" s="93">
        <f>IF(OR($A34="",$B34=0),"",REPT("█",MAX(1,ROUND(12*$B34/MAX($B$5:$B$35),0))))</f>
        <v/>
      </c>
      <c r="G34" s="94">
        <f>IF(OR($A34="",$C34=0),"",REPT("█",MAX(1,ROUND(12*$C34/MAX($C$5:$C$35),0))))</f>
        <v/>
      </c>
      <c r="H34" s="95">
        <f>IF($A34="","",DAY($A34))</f>
        <v/>
      </c>
    </row>
    <row r="35" ht="18" customHeight="1">
      <c r="A35" s="88">
        <f>IF(31&gt;DAY(EOMONTH(DATE(Dashboard!$F$6,Dashboard!$C$6,1),0)),"",DATE(Dashboard!$F$6,Dashboard!$C$6,31))</f>
        <v/>
      </c>
      <c r="B35" s="67">
        <f>IF($A35="","",SUMIFS(Transaksi!$C:$C,Transaksi!$A:$A,$A35,Transaksi!$B:$B,"Masuk"))</f>
        <v/>
      </c>
      <c r="C35" s="67">
        <f>IF($A35="","",SUMIFS(Transaksi!$C:$C,Transaksi!$A:$A,$A35,Transaksi!$B:$B,"Keluar"))</f>
        <v/>
      </c>
      <c r="D35" s="67">
        <f>IF($A35="","",$B35-$C35)</f>
        <v/>
      </c>
      <c r="E35" s="67">
        <f>IF($A35="","",$E34+$D35)</f>
        <v/>
      </c>
      <c r="F35" s="89">
        <f>IF(OR($A35="",$B35=0),"",REPT("█",MAX(1,ROUND(12*$B35/MAX($B$5:$B$35),0))))</f>
        <v/>
      </c>
      <c r="G35" s="90">
        <f>IF(OR($A35="",$C35=0),"",REPT("█",MAX(1,ROUND(12*$C35/MAX($C$5:$C$35),0))))</f>
        <v/>
      </c>
      <c r="H35" s="91">
        <f>IF($A35="","",DAY($A35))</f>
        <v/>
      </c>
    </row>
    <row r="37" ht="22" customHeight="1">
      <c r="A37" s="96" t="inlineStr">
        <is>
          <t>TOTAL BULAN</t>
        </is>
      </c>
      <c r="B37" s="97">
        <f>SUM(B5:B35)</f>
        <v/>
      </c>
      <c r="C37" s="97">
        <f>SUM(C5:C35)</f>
        <v/>
      </c>
      <c r="D37" s="97">
        <f>SUM(D5:D35)</f>
        <v/>
      </c>
      <c r="E37" s="98" t="n"/>
    </row>
    <row r="39">
      <c r="A39" s="18" t="inlineStr">
        <is>
          <t>Baris merah pada Saldo Berjalan = kas minus pada hari itu. Kolom Grafik memakai balok █ supaya tetap terbaca di HP.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9:E39"/>
  </mergeCells>
  <conditionalFormatting sqref="D5:D35">
    <cfRule type="expression" priority="1" dxfId="5">
      <formula>AND($A5&lt;&gt;"",$D5&lt;0)</formula>
    </cfRule>
  </conditionalFormatting>
  <conditionalFormatting sqref="E5:E35">
    <cfRule type="expression" priority="2" dxfId="8">
      <formula>AND($A5&lt;&gt;"",$E5&lt;0)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8961E"/>
    <outlinePr summaryBelow="1" summaryRight="1"/>
    <pageSetUpPr fitToPage="1"/>
  </sheetPr>
  <dimension ref="B2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18" customWidth="1" min="5" max="5"/>
    <col width="12" customWidth="1" min="6" max="6"/>
    <col width="26" customWidth="1" min="7" max="7"/>
  </cols>
  <sheetData>
    <row r="1" ht="8" customHeight="1"/>
    <row r="2">
      <c r="B2" s="1" t="inlineStr">
        <is>
          <t>KASUMKM · DAFTAR PILIHAN</t>
        </is>
      </c>
    </row>
    <row r="3" ht="30" customHeight="1">
      <c r="B3" s="2" t="inlineStr">
        <is>
          <t>Kategori &amp; Dropdown</t>
        </is>
      </c>
    </row>
    <row r="4">
      <c r="B4" s="3" t="inlineStr">
        <is>
          <t>Boleh ditambah atau diubah sesuai jenis usaha. Isi tanpa baris kosong di tengah.</t>
        </is>
      </c>
    </row>
    <row r="5" ht="6" customHeight="1"/>
    <row r="6" ht="26" customHeight="1">
      <c r="B6" s="19" t="inlineStr">
        <is>
          <t>Kategori Pemasukan</t>
        </is>
      </c>
      <c r="C6" s="19" t="inlineStr">
        <is>
          <t>Kategori Pengeluaran</t>
        </is>
      </c>
      <c r="D6" s="19" t="inlineStr">
        <is>
          <t>Metode Bayar</t>
        </is>
      </c>
      <c r="E6" s="19" t="inlineStr">
        <is>
          <t>Status</t>
        </is>
      </c>
      <c r="F6" s="19" t="inlineStr">
        <is>
          <t>Jenis</t>
        </is>
      </c>
      <c r="G6" s="19" t="inlineStr">
        <is>
          <t>Semua Kategori (bantu)</t>
        </is>
      </c>
    </row>
    <row r="7">
      <c r="B7" s="99" t="inlineStr">
        <is>
          <t>Penjualan Tunai</t>
        </is>
      </c>
      <c r="C7" s="99" t="inlineStr">
        <is>
          <t>Bahan Baku</t>
        </is>
      </c>
      <c r="D7" s="99" t="inlineStr">
        <is>
          <t>Tunai</t>
        </is>
      </c>
      <c r="E7" s="99" t="inlineStr">
        <is>
          <t>Belum Ditinjau</t>
        </is>
      </c>
      <c r="F7" s="99" t="inlineStr">
        <is>
          <t>Masuk</t>
        </is>
      </c>
      <c r="G7" s="99" t="inlineStr">
        <is>
          <t>Penjualan Tunai</t>
        </is>
      </c>
    </row>
    <row r="8">
      <c r="B8" s="99" t="inlineStr">
        <is>
          <t>Penjualan Online</t>
        </is>
      </c>
      <c r="C8" s="99" t="inlineStr">
        <is>
          <t>Barang Dagang</t>
        </is>
      </c>
      <c r="D8" s="99" t="inlineStr">
        <is>
          <t>Transfer Bank</t>
        </is>
      </c>
      <c r="E8" s="99" t="inlineStr">
        <is>
          <t>Disetujui</t>
        </is>
      </c>
      <c r="F8" s="99" t="inlineStr">
        <is>
          <t>Keluar</t>
        </is>
      </c>
      <c r="G8" s="99" t="inlineStr">
        <is>
          <t>Penjualan Online</t>
        </is>
      </c>
    </row>
    <row r="9">
      <c r="B9" s="99" t="inlineStr">
        <is>
          <t>Pendapatan Jasa</t>
        </is>
      </c>
      <c r="C9" s="99" t="inlineStr">
        <is>
          <t>Gaji &amp; Upah</t>
        </is>
      </c>
      <c r="D9" s="99" t="inlineStr">
        <is>
          <t>QRIS</t>
        </is>
      </c>
      <c r="E9" s="99" t="inlineStr">
        <is>
          <t>Perlu Perbaikan</t>
        </is>
      </c>
      <c r="F9" s="99" t="n"/>
      <c r="G9" s="99" t="inlineStr">
        <is>
          <t>Pendapatan Jasa</t>
        </is>
      </c>
    </row>
    <row r="10">
      <c r="B10" s="99" t="inlineStr">
        <is>
          <t>Titipan/Konsinyasi</t>
        </is>
      </c>
      <c r="C10" s="99" t="inlineStr">
        <is>
          <t>Sewa Tempat</t>
        </is>
      </c>
      <c r="D10" s="99" t="inlineStr">
        <is>
          <t>E-wallet</t>
        </is>
      </c>
      <c r="E10" s="99" t="n"/>
      <c r="F10" s="99" t="n"/>
      <c r="G10" s="99" t="inlineStr">
        <is>
          <t>Titipan/Konsinyasi</t>
        </is>
      </c>
    </row>
    <row r="11">
      <c r="B11" s="99" t="inlineStr">
        <is>
          <t>Pendapatan Lain-lain</t>
        </is>
      </c>
      <c r="C11" s="99" t="inlineStr">
        <is>
          <t>Listrik &amp; Air</t>
        </is>
      </c>
      <c r="D11" s="99" t="inlineStr">
        <is>
          <t>Lainnya</t>
        </is>
      </c>
      <c r="E11" s="99" t="n"/>
      <c r="F11" s="99" t="n"/>
      <c r="G11" s="99" t="inlineStr">
        <is>
          <t>Pendapatan Lain-lain</t>
        </is>
      </c>
    </row>
    <row r="12">
      <c r="B12" s="99" t="n"/>
      <c r="C12" s="99" t="inlineStr">
        <is>
          <t>Transport &amp; Kirim</t>
        </is>
      </c>
      <c r="D12" s="99" t="n"/>
      <c r="E12" s="99" t="n"/>
      <c r="F12" s="99" t="n"/>
      <c r="G12" s="99" t="inlineStr">
        <is>
          <t>Bahan Baku</t>
        </is>
      </c>
    </row>
    <row r="13">
      <c r="B13" s="99" t="n"/>
      <c r="C13" s="99" t="inlineStr">
        <is>
          <t>Kemasan</t>
        </is>
      </c>
      <c r="D13" s="99" t="n"/>
      <c r="E13" s="99" t="n"/>
      <c r="F13" s="99" t="n"/>
      <c r="G13" s="99" t="inlineStr">
        <is>
          <t>Barang Dagang</t>
        </is>
      </c>
    </row>
    <row r="14">
      <c r="B14" s="99" t="n"/>
      <c r="C14" s="99" t="inlineStr">
        <is>
          <t>Pulsa &amp; Internet</t>
        </is>
      </c>
      <c r="D14" s="99" t="n"/>
      <c r="E14" s="99" t="n"/>
      <c r="F14" s="99" t="n"/>
      <c r="G14" s="99" t="inlineStr">
        <is>
          <t>Gaji &amp; Upah</t>
        </is>
      </c>
    </row>
    <row r="15">
      <c r="B15" s="99" t="n"/>
      <c r="C15" s="99" t="inlineStr">
        <is>
          <t>Peralatan</t>
        </is>
      </c>
      <c r="D15" s="99" t="n"/>
      <c r="E15" s="99" t="n"/>
      <c r="F15" s="99" t="n"/>
      <c r="G15" s="99" t="inlineStr">
        <is>
          <t>Sewa Tempat</t>
        </is>
      </c>
    </row>
    <row r="16">
      <c r="B16" s="99" t="n"/>
      <c r="C16" s="99" t="inlineStr">
        <is>
          <t>Promosi</t>
        </is>
      </c>
      <c r="D16" s="99" t="n"/>
      <c r="E16" s="99" t="n"/>
      <c r="F16" s="99" t="n"/>
      <c r="G16" s="99" t="inlineStr">
        <is>
          <t>Listrik &amp; Air</t>
        </is>
      </c>
    </row>
    <row r="17">
      <c r="B17" s="99" t="n"/>
      <c r="C17" s="99" t="inlineStr">
        <is>
          <t>Pajak &amp; Retribusi</t>
        </is>
      </c>
      <c r="D17" s="99" t="n"/>
      <c r="E17" s="99" t="n"/>
      <c r="F17" s="99" t="n"/>
      <c r="G17" s="99" t="inlineStr">
        <is>
          <t>Transport &amp; Kirim</t>
        </is>
      </c>
    </row>
    <row r="18">
      <c r="B18" s="99" t="n"/>
      <c r="C18" s="99" t="inlineStr">
        <is>
          <t>Pengeluaran Lain-lain</t>
        </is>
      </c>
      <c r="D18" s="99" t="n"/>
      <c r="E18" s="99" t="n"/>
      <c r="F18" s="99" t="n"/>
      <c r="G18" s="99" t="inlineStr">
        <is>
          <t>Kemasan</t>
        </is>
      </c>
    </row>
    <row r="19">
      <c r="B19" s="99" t="n"/>
      <c r="C19" s="99" t="n"/>
      <c r="D19" s="99" t="n"/>
      <c r="E19" s="99" t="n"/>
      <c r="F19" s="99" t="n"/>
      <c r="G19" s="99" t="inlineStr">
        <is>
          <t>Pulsa &amp; Internet</t>
        </is>
      </c>
    </row>
    <row r="20">
      <c r="B20" s="99" t="n"/>
      <c r="C20" s="99" t="n"/>
      <c r="D20" s="99" t="n"/>
      <c r="E20" s="99" t="n"/>
      <c r="F20" s="99" t="n"/>
      <c r="G20" s="99" t="inlineStr">
        <is>
          <t>Peralatan</t>
        </is>
      </c>
    </row>
    <row r="21">
      <c r="B21" s="99" t="n"/>
      <c r="C21" s="99" t="n"/>
      <c r="D21" s="99" t="n"/>
      <c r="E21" s="99" t="n"/>
      <c r="F21" s="99" t="n"/>
      <c r="G21" s="99" t="inlineStr">
        <is>
          <t>Promosi</t>
        </is>
      </c>
    </row>
    <row r="22">
      <c r="B22" s="99" t="n"/>
      <c r="C22" s="99" t="n"/>
      <c r="D22" s="99" t="n"/>
      <c r="E22" s="99" t="n"/>
      <c r="F22" s="99" t="n"/>
      <c r="G22" s="99" t="inlineStr">
        <is>
          <t>Pajak &amp; Retribusi</t>
        </is>
      </c>
    </row>
    <row r="23">
      <c r="B23" s="99" t="n"/>
      <c r="C23" s="99" t="n"/>
      <c r="D23" s="99" t="n"/>
      <c r="E23" s="99" t="n"/>
      <c r="F23" s="99" t="n"/>
      <c r="G23" s="99" t="inlineStr">
        <is>
          <t>Pengeluaran Lain-lain</t>
        </is>
      </c>
    </row>
    <row r="24">
      <c r="B24" s="99" t="n"/>
      <c r="C24" s="99" t="n"/>
      <c r="D24" s="99" t="n"/>
      <c r="E24" s="99" t="n"/>
      <c r="F24" s="99" t="n"/>
      <c r="G24" s="99" t="n"/>
    </row>
    <row r="25">
      <c r="B25" s="99" t="n"/>
      <c r="C25" s="99" t="n"/>
      <c r="D25" s="99" t="n"/>
      <c r="E25" s="99" t="n"/>
      <c r="F25" s="99" t="n"/>
      <c r="G25" s="99" t="n"/>
    </row>
    <row r="26">
      <c r="B26" s="99" t="n"/>
      <c r="C26" s="99" t="n"/>
      <c r="D26" s="99" t="n"/>
      <c r="E26" s="99" t="n"/>
      <c r="F26" s="99" t="n"/>
      <c r="G26" s="99" t="n"/>
    </row>
    <row r="27">
      <c r="B27" s="99" t="n"/>
      <c r="C27" s="99" t="n"/>
      <c r="D27" s="99" t="n"/>
      <c r="E27" s="99" t="n"/>
      <c r="F27" s="99" t="n"/>
      <c r="G27" s="99" t="n"/>
    </row>
    <row r="28">
      <c r="B28" s="99" t="n"/>
      <c r="C28" s="99" t="n"/>
      <c r="D28" s="99" t="n"/>
      <c r="E28" s="99" t="n"/>
      <c r="F28" s="99" t="n"/>
      <c r="G28" s="99" t="n"/>
    </row>
    <row r="29">
      <c r="B29" s="99" t="n"/>
      <c r="C29" s="99" t="n"/>
      <c r="D29" s="99" t="n"/>
      <c r="E29" s="99" t="n"/>
      <c r="F29" s="99" t="n"/>
      <c r="G29" s="99" t="n"/>
    </row>
    <row r="30">
      <c r="B30" s="99" t="n"/>
      <c r="C30" s="99" t="n"/>
      <c r="D30" s="99" t="n"/>
      <c r="E30" s="99" t="n"/>
      <c r="F30" s="99" t="n"/>
      <c r="G30" s="99" t="n"/>
    </row>
    <row r="31">
      <c r="B31" s="99" t="n"/>
      <c r="C31" s="99" t="n"/>
      <c r="D31" s="99" t="n"/>
      <c r="E31" s="99" t="n"/>
      <c r="F31" s="99" t="n"/>
      <c r="G31" s="99" t="n"/>
    </row>
    <row r="32">
      <c r="B32" s="99" t="n"/>
      <c r="C32" s="99" t="n"/>
      <c r="D32" s="99" t="n"/>
      <c r="E32" s="99" t="n"/>
      <c r="F32" s="99" t="n"/>
      <c r="G32" s="99" t="n"/>
    </row>
    <row r="33">
      <c r="B33" s="99" t="n"/>
      <c r="C33" s="99" t="n"/>
      <c r="D33" s="99" t="n"/>
      <c r="E33" s="99" t="n"/>
      <c r="F33" s="99" t="n"/>
      <c r="G33" s="99" t="n"/>
    </row>
    <row r="34">
      <c r="B34" s="99" t="n"/>
      <c r="C34" s="99" t="n"/>
      <c r="D34" s="99" t="n"/>
      <c r="E34" s="99" t="n"/>
      <c r="F34" s="99" t="n"/>
      <c r="G34" s="99" t="n"/>
    </row>
    <row r="35">
      <c r="B35" s="99" t="n"/>
      <c r="C35" s="99" t="n"/>
      <c r="D35" s="99" t="n"/>
      <c r="E35" s="99" t="n"/>
      <c r="F35" s="99" t="n"/>
      <c r="G35" s="99" t="n"/>
    </row>
    <row r="36">
      <c r="B36" s="99" t="n"/>
      <c r="C36" s="99" t="n"/>
      <c r="D36" s="99" t="n"/>
      <c r="E36" s="99" t="n"/>
      <c r="F36" s="99" t="n"/>
      <c r="G36" s="99" t="n"/>
    </row>
    <row r="37">
      <c r="B37" s="99" t="n"/>
      <c r="C37" s="99" t="n"/>
      <c r="D37" s="99" t="n"/>
      <c r="E37" s="99" t="n"/>
      <c r="F37" s="99" t="n"/>
      <c r="G37" s="99" t="n"/>
    </row>
    <row r="38">
      <c r="B38" s="99" t="n"/>
      <c r="C38" s="99" t="n"/>
      <c r="D38" s="99" t="n"/>
      <c r="E38" s="99" t="n"/>
      <c r="F38" s="99" t="n"/>
      <c r="G38" s="99" t="n"/>
    </row>
    <row r="39">
      <c r="B39" s="99" t="n"/>
      <c r="C39" s="99" t="n"/>
      <c r="D39" s="99" t="n"/>
      <c r="E39" s="99" t="n"/>
      <c r="F39" s="99" t="n"/>
      <c r="G39" s="99" t="n"/>
    </row>
    <row r="40">
      <c r="B40" s="99" t="n"/>
      <c r="C40" s="99" t="n"/>
      <c r="D40" s="99" t="n"/>
      <c r="E40" s="99" t="n"/>
      <c r="F40" s="99" t="n"/>
      <c r="G40" s="99" t="n"/>
    </row>
    <row r="41">
      <c r="B41" s="99" t="n"/>
      <c r="C41" s="99" t="n"/>
      <c r="D41" s="99" t="n"/>
      <c r="E41" s="99" t="n"/>
      <c r="F41" s="99" t="n"/>
      <c r="G41" s="99" t="n"/>
    </row>
    <row r="42">
      <c r="B42" s="99" t="n"/>
      <c r="C42" s="99" t="n"/>
      <c r="D42" s="99" t="n"/>
      <c r="E42" s="99" t="n"/>
      <c r="F42" s="99" t="n"/>
      <c r="G42" s="99" t="n"/>
    </row>
    <row r="44">
      <c r="B44" s="100" t="inlineStr">
        <is>
          <t>Setelah menambah kategori baru, salin juga ke kolom 'Semua Kategori (bantu)' agar muncul di dropdown sheet Transaksi.</t>
        </is>
      </c>
    </row>
  </sheetData>
  <mergeCells count="4">
    <mergeCell ref="B3:G3"/>
    <mergeCell ref="B2:G2"/>
    <mergeCell ref="B4:G4"/>
    <mergeCell ref="B44:G44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B2:F512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6" customWidth="1" min="4" max="4"/>
    <col width="32" customWidth="1" min="5" max="5"/>
    <col width="56" customWidth="1" min="6" max="6"/>
  </cols>
  <sheetData>
    <row r="1" ht="8" customHeight="1"/>
    <row r="2">
      <c r="B2" s="1" t="inlineStr">
        <is>
          <t>KASUMKM · KUALITAS DATA</t>
        </is>
      </c>
    </row>
    <row r="3" ht="30" customHeight="1">
      <c r="B3" s="2" t="inlineStr">
        <is>
          <t>Cek Data</t>
        </is>
      </c>
    </row>
    <row r="4">
      <c r="B4" s="3" t="inlineStr">
        <is>
          <t>Pakai Filter pada kolom Masalah → hilangkan centang (Kosong) untuk melihat hanya baris yang perlu diperbaiki.</t>
        </is>
      </c>
    </row>
    <row r="5" ht="6" customHeight="1"/>
    <row r="6" ht="20" customHeight="1">
      <c r="B6" s="14" t="inlineStr">
        <is>
          <t>RINGKASAN</t>
        </is>
      </c>
      <c r="C6" s="5" t="n"/>
    </row>
    <row r="7" ht="20" customHeight="1">
      <c r="B7" s="50" t="inlineStr">
        <is>
          <t>Baris tanpa kategori</t>
        </is>
      </c>
      <c r="C7" s="51">
        <f>COUNTIFS(Transaksi!$A$2:$A$501,"&lt;&gt;",Transaksi!$E$2:$E$501,"")</f>
        <v/>
      </c>
    </row>
    <row r="8" ht="20" customHeight="1">
      <c r="B8" s="101" t="inlineStr">
        <is>
          <t>Baris tanpa nominal</t>
        </is>
      </c>
      <c r="C8" s="102">
        <f>COUNTIFS(Transaksi!$A$2:$A$501,"&lt;&gt;",Transaksi!$C$2:$C$501,"")</f>
        <v/>
      </c>
    </row>
    <row r="9" ht="20" customHeight="1">
      <c r="B9" s="48" t="inlineStr">
        <is>
          <t>Baris belum disetujui</t>
        </is>
      </c>
      <c r="C9" s="49">
        <f>COUNTIFS(Transaksi!$A$2:$A$501,"&lt;&gt;",Transaksi!$G$2:$G$501,"&lt;&gt;Disetujui")</f>
        <v/>
      </c>
    </row>
    <row r="10" ht="20" customHeight="1">
      <c r="B10" s="48" t="inlineStr">
        <is>
          <t>Total baris terisi</t>
        </is>
      </c>
      <c r="C10" s="49">
        <f>COUNTA(Transaksi!$A$2:$A$501)</f>
        <v/>
      </c>
    </row>
    <row r="12" ht="26" customHeight="1">
      <c r="B12" s="103" t="inlineStr">
        <is>
          <t>Baris di Transaksi</t>
        </is>
      </c>
      <c r="C12" s="103" t="inlineStr">
        <is>
          <t>Tanggal</t>
        </is>
      </c>
      <c r="D12" s="103" t="inlineStr">
        <is>
          <t>Nominal</t>
        </is>
      </c>
      <c r="E12" s="103" t="inlineStr">
        <is>
          <t>Keterangan</t>
        </is>
      </c>
      <c r="F12" s="103" t="inlineStr">
        <is>
          <t>Masalah</t>
        </is>
      </c>
    </row>
    <row r="13" ht="18" customHeight="1">
      <c r="B13" s="21">
        <f>IF(Transaksi!$A2="","",2)</f>
        <v/>
      </c>
      <c r="C13" s="20">
        <f>IF(Transaksi!$A2="","",Transaksi!$A2)</f>
        <v/>
      </c>
      <c r="D13" s="22">
        <f>IF(Transaksi!$A2="","",Transaksi!$C2)</f>
        <v/>
      </c>
      <c r="E13" s="21">
        <f>IF(Transaksi!$A2="","",Transaksi!$D2)</f>
        <v/>
      </c>
      <c r="F13" s="21">
        <f>IF(Transaksi!$A2="","",TRIM(IF(Transaksi!$C2="","Nominal kosong. ","")&amp;IF(N(Transaksi!$C2)&lt;0,"Nominal negatif. ","")&amp;IF(Transaksi!$B2="","Jenis belum diisi. ","")&amp;IF(Transaksi!$E2="","Kategori belum diisi. ","")&amp;IF(Transaksi!$A2&gt;TODAY(),"Tanggal di masa depan. ","")&amp;IF(COUNTIFS(Transaksi!$A$2:$A$501,Transaksi!$A2,Transaksi!$C$2:$C$501,Transaksi!$C2,Transaksi!$D$2:$D$501,Transaksi!$D2)&gt;1,"Kemungkinan duplikat. ","")))</f>
        <v/>
      </c>
    </row>
    <row r="14" ht="18" customHeight="1">
      <c r="B14" s="21">
        <f>IF(Transaksi!$A3="","",3)</f>
        <v/>
      </c>
      <c r="C14" s="20">
        <f>IF(Transaksi!$A3="","",Transaksi!$A3)</f>
        <v/>
      </c>
      <c r="D14" s="22">
        <f>IF(Transaksi!$A3="","",Transaksi!$C3)</f>
        <v/>
      </c>
      <c r="E14" s="21">
        <f>IF(Transaksi!$A3="","",Transaksi!$D3)</f>
        <v/>
      </c>
      <c r="F14" s="21">
        <f>IF(Transaksi!$A3="","",TRIM(IF(Transaksi!$C3="","Nominal kosong. ","")&amp;IF(N(Transaksi!$C3)&lt;0,"Nominal negatif. ","")&amp;IF(Transaksi!$B3="","Jenis belum diisi. ","")&amp;IF(Transaksi!$E3="","Kategori belum diisi. ","")&amp;IF(Transaksi!$A3&gt;TODAY(),"Tanggal di masa depan. ","")&amp;IF(COUNTIFS(Transaksi!$A$2:$A$501,Transaksi!$A3,Transaksi!$C$2:$C$501,Transaksi!$C3,Transaksi!$D$2:$D$501,Transaksi!$D3)&gt;1,"Kemungkinan duplikat. ","")))</f>
        <v/>
      </c>
    </row>
    <row r="15" ht="18" customHeight="1">
      <c r="B15" s="21">
        <f>IF(Transaksi!$A4="","",4)</f>
        <v/>
      </c>
      <c r="C15" s="20">
        <f>IF(Transaksi!$A4="","",Transaksi!$A4)</f>
        <v/>
      </c>
      <c r="D15" s="22">
        <f>IF(Transaksi!$A4="","",Transaksi!$C4)</f>
        <v/>
      </c>
      <c r="E15" s="21">
        <f>IF(Transaksi!$A4="","",Transaksi!$D4)</f>
        <v/>
      </c>
      <c r="F15" s="21">
        <f>IF(Transaksi!$A4="","",TRIM(IF(Transaksi!$C4="","Nominal kosong. ","")&amp;IF(N(Transaksi!$C4)&lt;0,"Nominal negatif. ","")&amp;IF(Transaksi!$B4="","Jenis belum diisi. ","")&amp;IF(Transaksi!$E4="","Kategori belum diisi. ","")&amp;IF(Transaksi!$A4&gt;TODAY(),"Tanggal di masa depan. ","")&amp;IF(COUNTIFS(Transaksi!$A$2:$A$501,Transaksi!$A4,Transaksi!$C$2:$C$501,Transaksi!$C4,Transaksi!$D$2:$D$501,Transaksi!$D4)&gt;1,"Kemungkinan duplikat. ","")))</f>
        <v/>
      </c>
    </row>
    <row r="16" ht="18" customHeight="1">
      <c r="B16" s="21">
        <f>IF(Transaksi!$A5="","",5)</f>
        <v/>
      </c>
      <c r="C16" s="20">
        <f>IF(Transaksi!$A5="","",Transaksi!$A5)</f>
        <v/>
      </c>
      <c r="D16" s="22">
        <f>IF(Transaksi!$A5="","",Transaksi!$C5)</f>
        <v/>
      </c>
      <c r="E16" s="21">
        <f>IF(Transaksi!$A5="","",Transaksi!$D5)</f>
        <v/>
      </c>
      <c r="F16" s="21">
        <f>IF(Transaksi!$A5="","",TRIM(IF(Transaksi!$C5="","Nominal kosong. ","")&amp;IF(N(Transaksi!$C5)&lt;0,"Nominal negatif. ","")&amp;IF(Transaksi!$B5="","Jenis belum diisi. ","")&amp;IF(Transaksi!$E5="","Kategori belum diisi. ","")&amp;IF(Transaksi!$A5&gt;TODAY(),"Tanggal di masa depan. ","")&amp;IF(COUNTIFS(Transaksi!$A$2:$A$501,Transaksi!$A5,Transaksi!$C$2:$C$501,Transaksi!$C5,Transaksi!$D$2:$D$501,Transaksi!$D5)&gt;1,"Kemungkinan duplikat. ","")))</f>
        <v/>
      </c>
    </row>
    <row r="17" ht="18" customHeight="1">
      <c r="B17" s="21">
        <f>IF(Transaksi!$A6="","",6)</f>
        <v/>
      </c>
      <c r="C17" s="20">
        <f>IF(Transaksi!$A6="","",Transaksi!$A6)</f>
        <v/>
      </c>
      <c r="D17" s="22">
        <f>IF(Transaksi!$A6="","",Transaksi!$C6)</f>
        <v/>
      </c>
      <c r="E17" s="21">
        <f>IF(Transaksi!$A6="","",Transaksi!$D6)</f>
        <v/>
      </c>
      <c r="F17" s="21">
        <f>IF(Transaksi!$A6="","",TRIM(IF(Transaksi!$C6="","Nominal kosong. ","")&amp;IF(N(Transaksi!$C6)&lt;0,"Nominal negatif. ","")&amp;IF(Transaksi!$B6="","Jenis belum diisi. ","")&amp;IF(Transaksi!$E6="","Kategori belum diisi. ","")&amp;IF(Transaksi!$A6&gt;TODAY(),"Tanggal di masa depan. ","")&amp;IF(COUNTIFS(Transaksi!$A$2:$A$501,Transaksi!$A6,Transaksi!$C$2:$C$501,Transaksi!$C6,Transaksi!$D$2:$D$501,Transaksi!$D6)&gt;1,"Kemungkinan duplikat. ","")))</f>
        <v/>
      </c>
    </row>
    <row r="18" ht="18" customHeight="1">
      <c r="B18" s="21">
        <f>IF(Transaksi!$A7="","",7)</f>
        <v/>
      </c>
      <c r="C18" s="20">
        <f>IF(Transaksi!$A7="","",Transaksi!$A7)</f>
        <v/>
      </c>
      <c r="D18" s="22">
        <f>IF(Transaksi!$A7="","",Transaksi!$C7)</f>
        <v/>
      </c>
      <c r="E18" s="21">
        <f>IF(Transaksi!$A7="","",Transaksi!$D7)</f>
        <v/>
      </c>
      <c r="F18" s="21">
        <f>IF(Transaksi!$A7="","",TRIM(IF(Transaksi!$C7="","Nominal kosong. ","")&amp;IF(N(Transaksi!$C7)&lt;0,"Nominal negatif. ","")&amp;IF(Transaksi!$B7="","Jenis belum diisi. ","")&amp;IF(Transaksi!$E7="","Kategori belum diisi. ","")&amp;IF(Transaksi!$A7&gt;TODAY(),"Tanggal di masa depan. ","")&amp;IF(COUNTIFS(Transaksi!$A$2:$A$501,Transaksi!$A7,Transaksi!$C$2:$C$501,Transaksi!$C7,Transaksi!$D$2:$D$501,Transaksi!$D7)&gt;1,"Kemungkinan duplikat. ","")))</f>
        <v/>
      </c>
    </row>
    <row r="19" ht="18" customHeight="1">
      <c r="B19" s="21">
        <f>IF(Transaksi!$A8="","",8)</f>
        <v/>
      </c>
      <c r="C19" s="20">
        <f>IF(Transaksi!$A8="","",Transaksi!$A8)</f>
        <v/>
      </c>
      <c r="D19" s="22">
        <f>IF(Transaksi!$A8="","",Transaksi!$C8)</f>
        <v/>
      </c>
      <c r="E19" s="21">
        <f>IF(Transaksi!$A8="","",Transaksi!$D8)</f>
        <v/>
      </c>
      <c r="F19" s="21">
        <f>IF(Transaksi!$A8="","",TRIM(IF(Transaksi!$C8="","Nominal kosong. ","")&amp;IF(N(Transaksi!$C8)&lt;0,"Nominal negatif. ","")&amp;IF(Transaksi!$B8="","Jenis belum diisi. ","")&amp;IF(Transaksi!$E8="","Kategori belum diisi. ","")&amp;IF(Transaksi!$A8&gt;TODAY(),"Tanggal di masa depan. ","")&amp;IF(COUNTIFS(Transaksi!$A$2:$A$501,Transaksi!$A8,Transaksi!$C$2:$C$501,Transaksi!$C8,Transaksi!$D$2:$D$501,Transaksi!$D8)&gt;1,"Kemungkinan duplikat. ","")))</f>
        <v/>
      </c>
    </row>
    <row r="20" ht="18" customHeight="1">
      <c r="B20" s="21">
        <f>IF(Transaksi!$A9="","",9)</f>
        <v/>
      </c>
      <c r="C20" s="20">
        <f>IF(Transaksi!$A9="","",Transaksi!$A9)</f>
        <v/>
      </c>
      <c r="D20" s="22">
        <f>IF(Transaksi!$A9="","",Transaksi!$C9)</f>
        <v/>
      </c>
      <c r="E20" s="21">
        <f>IF(Transaksi!$A9="","",Transaksi!$D9)</f>
        <v/>
      </c>
      <c r="F20" s="21">
        <f>IF(Transaksi!$A9="","",TRIM(IF(Transaksi!$C9="","Nominal kosong. ","")&amp;IF(N(Transaksi!$C9)&lt;0,"Nominal negatif. ","")&amp;IF(Transaksi!$B9="","Jenis belum diisi. ","")&amp;IF(Transaksi!$E9="","Kategori belum diisi. ","")&amp;IF(Transaksi!$A9&gt;TODAY(),"Tanggal di masa depan. ","")&amp;IF(COUNTIFS(Transaksi!$A$2:$A$501,Transaksi!$A9,Transaksi!$C$2:$C$501,Transaksi!$C9,Transaksi!$D$2:$D$501,Transaksi!$D9)&gt;1,"Kemungkinan duplikat. ","")))</f>
        <v/>
      </c>
    </row>
    <row r="21" ht="18" customHeight="1">
      <c r="B21" s="21">
        <f>IF(Transaksi!$A10="","",10)</f>
        <v/>
      </c>
      <c r="C21" s="20">
        <f>IF(Transaksi!$A10="","",Transaksi!$A10)</f>
        <v/>
      </c>
      <c r="D21" s="22">
        <f>IF(Transaksi!$A10="","",Transaksi!$C10)</f>
        <v/>
      </c>
      <c r="E21" s="21">
        <f>IF(Transaksi!$A10="","",Transaksi!$D10)</f>
        <v/>
      </c>
      <c r="F21" s="21">
        <f>IF(Transaksi!$A10="","",TRIM(IF(Transaksi!$C10="","Nominal kosong. ","")&amp;IF(N(Transaksi!$C10)&lt;0,"Nominal negatif. ","")&amp;IF(Transaksi!$B10="","Jenis belum diisi. ","")&amp;IF(Transaksi!$E10="","Kategori belum diisi. ","")&amp;IF(Transaksi!$A10&gt;TODAY(),"Tanggal di masa depan. ","")&amp;IF(COUNTIFS(Transaksi!$A$2:$A$501,Transaksi!$A10,Transaksi!$C$2:$C$501,Transaksi!$C10,Transaksi!$D$2:$D$501,Transaksi!$D10)&gt;1,"Kemungkinan duplikat. ","")))</f>
        <v/>
      </c>
    </row>
    <row r="22" ht="18" customHeight="1">
      <c r="B22" s="21">
        <f>IF(Transaksi!$A11="","",11)</f>
        <v/>
      </c>
      <c r="C22" s="20">
        <f>IF(Transaksi!$A11="","",Transaksi!$A11)</f>
        <v/>
      </c>
      <c r="D22" s="22">
        <f>IF(Transaksi!$A11="","",Transaksi!$C11)</f>
        <v/>
      </c>
      <c r="E22" s="21">
        <f>IF(Transaksi!$A11="","",Transaksi!$D11)</f>
        <v/>
      </c>
      <c r="F22" s="21">
        <f>IF(Transaksi!$A11="","",TRIM(IF(Transaksi!$C11="","Nominal kosong. ","")&amp;IF(N(Transaksi!$C11)&lt;0,"Nominal negatif. ","")&amp;IF(Transaksi!$B11="","Jenis belum diisi. ","")&amp;IF(Transaksi!$E11="","Kategori belum diisi. ","")&amp;IF(Transaksi!$A11&gt;TODAY(),"Tanggal di masa depan. ","")&amp;IF(COUNTIFS(Transaksi!$A$2:$A$501,Transaksi!$A11,Transaksi!$C$2:$C$501,Transaksi!$C11,Transaksi!$D$2:$D$501,Transaksi!$D11)&gt;1,"Kemungkinan duplikat. ","")))</f>
        <v/>
      </c>
    </row>
    <row r="23" ht="18" customHeight="1">
      <c r="B23" s="21">
        <f>IF(Transaksi!$A12="","",12)</f>
        <v/>
      </c>
      <c r="C23" s="20">
        <f>IF(Transaksi!$A12="","",Transaksi!$A12)</f>
        <v/>
      </c>
      <c r="D23" s="22">
        <f>IF(Transaksi!$A12="","",Transaksi!$C12)</f>
        <v/>
      </c>
      <c r="E23" s="21">
        <f>IF(Transaksi!$A12="","",Transaksi!$D12)</f>
        <v/>
      </c>
      <c r="F23" s="21">
        <f>IF(Transaksi!$A12="","",TRIM(IF(Transaksi!$C12="","Nominal kosong. ","")&amp;IF(N(Transaksi!$C12)&lt;0,"Nominal negatif. ","")&amp;IF(Transaksi!$B12="","Jenis belum diisi. ","")&amp;IF(Transaksi!$E12="","Kategori belum diisi. ","")&amp;IF(Transaksi!$A12&gt;TODAY(),"Tanggal di masa depan. ","")&amp;IF(COUNTIFS(Transaksi!$A$2:$A$501,Transaksi!$A12,Transaksi!$C$2:$C$501,Transaksi!$C12,Transaksi!$D$2:$D$501,Transaksi!$D12)&gt;1,"Kemungkinan duplikat. ","")))</f>
        <v/>
      </c>
    </row>
    <row r="24" ht="18" customHeight="1">
      <c r="B24" s="21">
        <f>IF(Transaksi!$A13="","",13)</f>
        <v/>
      </c>
      <c r="C24" s="20">
        <f>IF(Transaksi!$A13="","",Transaksi!$A13)</f>
        <v/>
      </c>
      <c r="D24" s="22">
        <f>IF(Transaksi!$A13="","",Transaksi!$C13)</f>
        <v/>
      </c>
      <c r="E24" s="21">
        <f>IF(Transaksi!$A13="","",Transaksi!$D13)</f>
        <v/>
      </c>
      <c r="F24" s="21">
        <f>IF(Transaksi!$A13="","",TRIM(IF(Transaksi!$C13="","Nominal kosong. ","")&amp;IF(N(Transaksi!$C13)&lt;0,"Nominal negatif. ","")&amp;IF(Transaksi!$B13="","Jenis belum diisi. ","")&amp;IF(Transaksi!$E13="","Kategori belum diisi. ","")&amp;IF(Transaksi!$A13&gt;TODAY(),"Tanggal di masa depan. ","")&amp;IF(COUNTIFS(Transaksi!$A$2:$A$501,Transaksi!$A13,Transaksi!$C$2:$C$501,Transaksi!$C13,Transaksi!$D$2:$D$501,Transaksi!$D13)&gt;1,"Kemungkinan duplikat. ","")))</f>
        <v/>
      </c>
    </row>
    <row r="25" ht="18" customHeight="1">
      <c r="B25" s="21">
        <f>IF(Transaksi!$A14="","",14)</f>
        <v/>
      </c>
      <c r="C25" s="20">
        <f>IF(Transaksi!$A14="","",Transaksi!$A14)</f>
        <v/>
      </c>
      <c r="D25" s="22">
        <f>IF(Transaksi!$A14="","",Transaksi!$C14)</f>
        <v/>
      </c>
      <c r="E25" s="21">
        <f>IF(Transaksi!$A14="","",Transaksi!$D14)</f>
        <v/>
      </c>
      <c r="F25" s="21">
        <f>IF(Transaksi!$A14="","",TRIM(IF(Transaksi!$C14="","Nominal kosong. ","")&amp;IF(N(Transaksi!$C14)&lt;0,"Nominal negatif. ","")&amp;IF(Transaksi!$B14="","Jenis belum diisi. ","")&amp;IF(Transaksi!$E14="","Kategori belum diisi. ","")&amp;IF(Transaksi!$A14&gt;TODAY(),"Tanggal di masa depan. ","")&amp;IF(COUNTIFS(Transaksi!$A$2:$A$501,Transaksi!$A14,Transaksi!$C$2:$C$501,Transaksi!$C14,Transaksi!$D$2:$D$501,Transaksi!$D14)&gt;1,"Kemungkinan duplikat. ","")))</f>
        <v/>
      </c>
    </row>
    <row r="26" ht="18" customHeight="1">
      <c r="B26" s="21">
        <f>IF(Transaksi!$A15="","",15)</f>
        <v/>
      </c>
      <c r="C26" s="20">
        <f>IF(Transaksi!$A15="","",Transaksi!$A15)</f>
        <v/>
      </c>
      <c r="D26" s="22">
        <f>IF(Transaksi!$A15="","",Transaksi!$C15)</f>
        <v/>
      </c>
      <c r="E26" s="21">
        <f>IF(Transaksi!$A15="","",Transaksi!$D15)</f>
        <v/>
      </c>
      <c r="F26" s="21">
        <f>IF(Transaksi!$A15="","",TRIM(IF(Transaksi!$C15="","Nominal kosong. ","")&amp;IF(N(Transaksi!$C15)&lt;0,"Nominal negatif. ","")&amp;IF(Transaksi!$B15="","Jenis belum diisi. ","")&amp;IF(Transaksi!$E15="","Kategori belum diisi. ","")&amp;IF(Transaksi!$A15&gt;TODAY(),"Tanggal di masa depan. ","")&amp;IF(COUNTIFS(Transaksi!$A$2:$A$501,Transaksi!$A15,Transaksi!$C$2:$C$501,Transaksi!$C15,Transaksi!$D$2:$D$501,Transaksi!$D15)&gt;1,"Kemungkinan duplikat. ","")))</f>
        <v/>
      </c>
    </row>
    <row r="27" ht="18" customHeight="1">
      <c r="B27" s="21">
        <f>IF(Transaksi!$A16="","",16)</f>
        <v/>
      </c>
      <c r="C27" s="20">
        <f>IF(Transaksi!$A16="","",Transaksi!$A16)</f>
        <v/>
      </c>
      <c r="D27" s="22">
        <f>IF(Transaksi!$A16="","",Transaksi!$C16)</f>
        <v/>
      </c>
      <c r="E27" s="21">
        <f>IF(Transaksi!$A16="","",Transaksi!$D16)</f>
        <v/>
      </c>
      <c r="F27" s="21">
        <f>IF(Transaksi!$A16="","",TRIM(IF(Transaksi!$C16="","Nominal kosong. ","")&amp;IF(N(Transaksi!$C16)&lt;0,"Nominal negatif. ","")&amp;IF(Transaksi!$B16="","Jenis belum diisi. ","")&amp;IF(Transaksi!$E16="","Kategori belum diisi. ","")&amp;IF(Transaksi!$A16&gt;TODAY(),"Tanggal di masa depan. ","")&amp;IF(COUNTIFS(Transaksi!$A$2:$A$501,Transaksi!$A16,Transaksi!$C$2:$C$501,Transaksi!$C16,Transaksi!$D$2:$D$501,Transaksi!$D16)&gt;1,"Kemungkinan duplikat. ","")))</f>
        <v/>
      </c>
    </row>
    <row r="28" ht="18" customHeight="1">
      <c r="B28" s="21">
        <f>IF(Transaksi!$A17="","",17)</f>
        <v/>
      </c>
      <c r="C28" s="20">
        <f>IF(Transaksi!$A17="","",Transaksi!$A17)</f>
        <v/>
      </c>
      <c r="D28" s="22">
        <f>IF(Transaksi!$A17="","",Transaksi!$C17)</f>
        <v/>
      </c>
      <c r="E28" s="21">
        <f>IF(Transaksi!$A17="","",Transaksi!$D17)</f>
        <v/>
      </c>
      <c r="F28" s="21">
        <f>IF(Transaksi!$A17="","",TRIM(IF(Transaksi!$C17="","Nominal kosong. ","")&amp;IF(N(Transaksi!$C17)&lt;0,"Nominal negatif. ","")&amp;IF(Transaksi!$B17="","Jenis belum diisi. ","")&amp;IF(Transaksi!$E17="","Kategori belum diisi. ","")&amp;IF(Transaksi!$A17&gt;TODAY(),"Tanggal di masa depan. ","")&amp;IF(COUNTIFS(Transaksi!$A$2:$A$501,Transaksi!$A17,Transaksi!$C$2:$C$501,Transaksi!$C17,Transaksi!$D$2:$D$501,Transaksi!$D17)&gt;1,"Kemungkinan duplikat. ","")))</f>
        <v/>
      </c>
    </row>
    <row r="29" ht="18" customHeight="1">
      <c r="B29" s="21">
        <f>IF(Transaksi!$A18="","",18)</f>
        <v/>
      </c>
      <c r="C29" s="20">
        <f>IF(Transaksi!$A18="","",Transaksi!$A18)</f>
        <v/>
      </c>
      <c r="D29" s="22">
        <f>IF(Transaksi!$A18="","",Transaksi!$C18)</f>
        <v/>
      </c>
      <c r="E29" s="21">
        <f>IF(Transaksi!$A18="","",Transaksi!$D18)</f>
        <v/>
      </c>
      <c r="F29" s="21">
        <f>IF(Transaksi!$A18="","",TRIM(IF(Transaksi!$C18="","Nominal kosong. ","")&amp;IF(N(Transaksi!$C18)&lt;0,"Nominal negatif. ","")&amp;IF(Transaksi!$B18="","Jenis belum diisi. ","")&amp;IF(Transaksi!$E18="","Kategori belum diisi. ","")&amp;IF(Transaksi!$A18&gt;TODAY(),"Tanggal di masa depan. ","")&amp;IF(COUNTIFS(Transaksi!$A$2:$A$501,Transaksi!$A18,Transaksi!$C$2:$C$501,Transaksi!$C18,Transaksi!$D$2:$D$501,Transaksi!$D18)&gt;1,"Kemungkinan duplikat. ","")))</f>
        <v/>
      </c>
    </row>
    <row r="30" ht="18" customHeight="1">
      <c r="B30" s="21">
        <f>IF(Transaksi!$A19="","",19)</f>
        <v/>
      </c>
      <c r="C30" s="20">
        <f>IF(Transaksi!$A19="","",Transaksi!$A19)</f>
        <v/>
      </c>
      <c r="D30" s="22">
        <f>IF(Transaksi!$A19="","",Transaksi!$C19)</f>
        <v/>
      </c>
      <c r="E30" s="21">
        <f>IF(Transaksi!$A19="","",Transaksi!$D19)</f>
        <v/>
      </c>
      <c r="F30" s="21">
        <f>IF(Transaksi!$A19="","",TRIM(IF(Transaksi!$C19="","Nominal kosong. ","")&amp;IF(N(Transaksi!$C19)&lt;0,"Nominal negatif. ","")&amp;IF(Transaksi!$B19="","Jenis belum diisi. ","")&amp;IF(Transaksi!$E19="","Kategori belum diisi. ","")&amp;IF(Transaksi!$A19&gt;TODAY(),"Tanggal di masa depan. ","")&amp;IF(COUNTIFS(Transaksi!$A$2:$A$501,Transaksi!$A19,Transaksi!$C$2:$C$501,Transaksi!$C19,Transaksi!$D$2:$D$501,Transaksi!$D19)&gt;1,"Kemungkinan duplikat. ","")))</f>
        <v/>
      </c>
    </row>
    <row r="31" ht="18" customHeight="1">
      <c r="B31" s="21">
        <f>IF(Transaksi!$A20="","",20)</f>
        <v/>
      </c>
      <c r="C31" s="20">
        <f>IF(Transaksi!$A20="","",Transaksi!$A20)</f>
        <v/>
      </c>
      <c r="D31" s="22">
        <f>IF(Transaksi!$A20="","",Transaksi!$C20)</f>
        <v/>
      </c>
      <c r="E31" s="21">
        <f>IF(Transaksi!$A20="","",Transaksi!$D20)</f>
        <v/>
      </c>
      <c r="F31" s="21">
        <f>IF(Transaksi!$A20="","",TRIM(IF(Transaksi!$C20="","Nominal kosong. ","")&amp;IF(N(Transaksi!$C20)&lt;0,"Nominal negatif. ","")&amp;IF(Transaksi!$B20="","Jenis belum diisi. ","")&amp;IF(Transaksi!$E20="","Kategori belum diisi. ","")&amp;IF(Transaksi!$A20&gt;TODAY(),"Tanggal di masa depan. ","")&amp;IF(COUNTIFS(Transaksi!$A$2:$A$501,Transaksi!$A20,Transaksi!$C$2:$C$501,Transaksi!$C20,Transaksi!$D$2:$D$501,Transaksi!$D20)&gt;1,"Kemungkinan duplikat. ","")))</f>
        <v/>
      </c>
    </row>
    <row r="32" ht="18" customHeight="1">
      <c r="B32" s="21">
        <f>IF(Transaksi!$A21="","",21)</f>
        <v/>
      </c>
      <c r="C32" s="20">
        <f>IF(Transaksi!$A21="","",Transaksi!$A21)</f>
        <v/>
      </c>
      <c r="D32" s="22">
        <f>IF(Transaksi!$A21="","",Transaksi!$C21)</f>
        <v/>
      </c>
      <c r="E32" s="21">
        <f>IF(Transaksi!$A21="","",Transaksi!$D21)</f>
        <v/>
      </c>
      <c r="F32" s="21">
        <f>IF(Transaksi!$A21="","",TRIM(IF(Transaksi!$C21="","Nominal kosong. ","")&amp;IF(N(Transaksi!$C21)&lt;0,"Nominal negatif. ","")&amp;IF(Transaksi!$B21="","Jenis belum diisi. ","")&amp;IF(Transaksi!$E21="","Kategori belum diisi. ","")&amp;IF(Transaksi!$A21&gt;TODAY(),"Tanggal di masa depan. ","")&amp;IF(COUNTIFS(Transaksi!$A$2:$A$501,Transaksi!$A21,Transaksi!$C$2:$C$501,Transaksi!$C21,Transaksi!$D$2:$D$501,Transaksi!$D21)&gt;1,"Kemungkinan duplikat. ","")))</f>
        <v/>
      </c>
    </row>
    <row r="33" ht="18" customHeight="1">
      <c r="B33" s="21">
        <f>IF(Transaksi!$A22="","",22)</f>
        <v/>
      </c>
      <c r="C33" s="20">
        <f>IF(Transaksi!$A22="","",Transaksi!$A22)</f>
        <v/>
      </c>
      <c r="D33" s="22">
        <f>IF(Transaksi!$A22="","",Transaksi!$C22)</f>
        <v/>
      </c>
      <c r="E33" s="21">
        <f>IF(Transaksi!$A22="","",Transaksi!$D22)</f>
        <v/>
      </c>
      <c r="F33" s="21">
        <f>IF(Transaksi!$A22="","",TRIM(IF(Transaksi!$C22="","Nominal kosong. ","")&amp;IF(N(Transaksi!$C22)&lt;0,"Nominal negatif. ","")&amp;IF(Transaksi!$B22="","Jenis belum diisi. ","")&amp;IF(Transaksi!$E22="","Kategori belum diisi. ","")&amp;IF(Transaksi!$A22&gt;TODAY(),"Tanggal di masa depan. ","")&amp;IF(COUNTIFS(Transaksi!$A$2:$A$501,Transaksi!$A22,Transaksi!$C$2:$C$501,Transaksi!$C22,Transaksi!$D$2:$D$501,Transaksi!$D22)&gt;1,"Kemungkinan duplikat. ","")))</f>
        <v/>
      </c>
    </row>
    <row r="34" ht="18" customHeight="1">
      <c r="B34" s="21">
        <f>IF(Transaksi!$A23="","",23)</f>
        <v/>
      </c>
      <c r="C34" s="20">
        <f>IF(Transaksi!$A23="","",Transaksi!$A23)</f>
        <v/>
      </c>
      <c r="D34" s="22">
        <f>IF(Transaksi!$A23="","",Transaksi!$C23)</f>
        <v/>
      </c>
      <c r="E34" s="21">
        <f>IF(Transaksi!$A23="","",Transaksi!$D23)</f>
        <v/>
      </c>
      <c r="F34" s="21">
        <f>IF(Transaksi!$A23="","",TRIM(IF(Transaksi!$C23="","Nominal kosong. ","")&amp;IF(N(Transaksi!$C23)&lt;0,"Nominal negatif. ","")&amp;IF(Transaksi!$B23="","Jenis belum diisi. ","")&amp;IF(Transaksi!$E23="","Kategori belum diisi. ","")&amp;IF(Transaksi!$A23&gt;TODAY(),"Tanggal di masa depan. ","")&amp;IF(COUNTIFS(Transaksi!$A$2:$A$501,Transaksi!$A23,Transaksi!$C$2:$C$501,Transaksi!$C23,Transaksi!$D$2:$D$501,Transaksi!$D23)&gt;1,"Kemungkinan duplikat. ","")))</f>
        <v/>
      </c>
    </row>
    <row r="35" ht="18" customHeight="1">
      <c r="B35" s="21">
        <f>IF(Transaksi!$A24="","",24)</f>
        <v/>
      </c>
      <c r="C35" s="20">
        <f>IF(Transaksi!$A24="","",Transaksi!$A24)</f>
        <v/>
      </c>
      <c r="D35" s="22">
        <f>IF(Transaksi!$A24="","",Transaksi!$C24)</f>
        <v/>
      </c>
      <c r="E35" s="21">
        <f>IF(Transaksi!$A24="","",Transaksi!$D24)</f>
        <v/>
      </c>
      <c r="F35" s="21">
        <f>IF(Transaksi!$A24="","",TRIM(IF(Transaksi!$C24="","Nominal kosong. ","")&amp;IF(N(Transaksi!$C24)&lt;0,"Nominal negatif. ","")&amp;IF(Transaksi!$B24="","Jenis belum diisi. ","")&amp;IF(Transaksi!$E24="","Kategori belum diisi. ","")&amp;IF(Transaksi!$A24&gt;TODAY(),"Tanggal di masa depan. ","")&amp;IF(COUNTIFS(Transaksi!$A$2:$A$501,Transaksi!$A24,Transaksi!$C$2:$C$501,Transaksi!$C24,Transaksi!$D$2:$D$501,Transaksi!$D24)&gt;1,"Kemungkinan duplikat. ","")))</f>
        <v/>
      </c>
    </row>
    <row r="36" ht="18" customHeight="1">
      <c r="B36" s="21">
        <f>IF(Transaksi!$A25="","",25)</f>
        <v/>
      </c>
      <c r="C36" s="20">
        <f>IF(Transaksi!$A25="","",Transaksi!$A25)</f>
        <v/>
      </c>
      <c r="D36" s="22">
        <f>IF(Transaksi!$A25="","",Transaksi!$C25)</f>
        <v/>
      </c>
      <c r="E36" s="21">
        <f>IF(Transaksi!$A25="","",Transaksi!$D25)</f>
        <v/>
      </c>
      <c r="F36" s="21">
        <f>IF(Transaksi!$A25="","",TRIM(IF(Transaksi!$C25="","Nominal kosong. ","")&amp;IF(N(Transaksi!$C25)&lt;0,"Nominal negatif. ","")&amp;IF(Transaksi!$B25="","Jenis belum diisi. ","")&amp;IF(Transaksi!$E25="","Kategori belum diisi. ","")&amp;IF(Transaksi!$A25&gt;TODAY(),"Tanggal di masa depan. ","")&amp;IF(COUNTIFS(Transaksi!$A$2:$A$501,Transaksi!$A25,Transaksi!$C$2:$C$501,Transaksi!$C25,Transaksi!$D$2:$D$501,Transaksi!$D25)&gt;1,"Kemungkinan duplikat. ","")))</f>
        <v/>
      </c>
    </row>
    <row r="37" ht="18" customHeight="1">
      <c r="B37" s="21">
        <f>IF(Transaksi!$A26="","",26)</f>
        <v/>
      </c>
      <c r="C37" s="20">
        <f>IF(Transaksi!$A26="","",Transaksi!$A26)</f>
        <v/>
      </c>
      <c r="D37" s="22">
        <f>IF(Transaksi!$A26="","",Transaksi!$C26)</f>
        <v/>
      </c>
      <c r="E37" s="21">
        <f>IF(Transaksi!$A26="","",Transaksi!$D26)</f>
        <v/>
      </c>
      <c r="F37" s="21">
        <f>IF(Transaksi!$A26="","",TRIM(IF(Transaksi!$C26="","Nominal kosong. ","")&amp;IF(N(Transaksi!$C26)&lt;0,"Nominal negatif. ","")&amp;IF(Transaksi!$B26="","Jenis belum diisi. ","")&amp;IF(Transaksi!$E26="","Kategori belum diisi. ","")&amp;IF(Transaksi!$A26&gt;TODAY(),"Tanggal di masa depan. ","")&amp;IF(COUNTIFS(Transaksi!$A$2:$A$501,Transaksi!$A26,Transaksi!$C$2:$C$501,Transaksi!$C26,Transaksi!$D$2:$D$501,Transaksi!$D26)&gt;1,"Kemungkinan duplikat. ","")))</f>
        <v/>
      </c>
    </row>
    <row r="38" ht="18" customHeight="1">
      <c r="B38" s="21">
        <f>IF(Transaksi!$A27="","",27)</f>
        <v/>
      </c>
      <c r="C38" s="20">
        <f>IF(Transaksi!$A27="","",Transaksi!$A27)</f>
        <v/>
      </c>
      <c r="D38" s="22">
        <f>IF(Transaksi!$A27="","",Transaksi!$C27)</f>
        <v/>
      </c>
      <c r="E38" s="21">
        <f>IF(Transaksi!$A27="","",Transaksi!$D27)</f>
        <v/>
      </c>
      <c r="F38" s="21">
        <f>IF(Transaksi!$A27="","",TRIM(IF(Transaksi!$C27="","Nominal kosong. ","")&amp;IF(N(Transaksi!$C27)&lt;0,"Nominal negatif. ","")&amp;IF(Transaksi!$B27="","Jenis belum diisi. ","")&amp;IF(Transaksi!$E27="","Kategori belum diisi. ","")&amp;IF(Transaksi!$A27&gt;TODAY(),"Tanggal di masa depan. ","")&amp;IF(COUNTIFS(Transaksi!$A$2:$A$501,Transaksi!$A27,Transaksi!$C$2:$C$501,Transaksi!$C27,Transaksi!$D$2:$D$501,Transaksi!$D27)&gt;1,"Kemungkinan duplikat. ","")))</f>
        <v/>
      </c>
    </row>
    <row r="39" ht="18" customHeight="1">
      <c r="B39" s="21">
        <f>IF(Transaksi!$A28="","",28)</f>
        <v/>
      </c>
      <c r="C39" s="20">
        <f>IF(Transaksi!$A28="","",Transaksi!$A28)</f>
        <v/>
      </c>
      <c r="D39" s="22">
        <f>IF(Transaksi!$A28="","",Transaksi!$C28)</f>
        <v/>
      </c>
      <c r="E39" s="21">
        <f>IF(Transaksi!$A28="","",Transaksi!$D28)</f>
        <v/>
      </c>
      <c r="F39" s="21">
        <f>IF(Transaksi!$A28="","",TRIM(IF(Transaksi!$C28="","Nominal kosong. ","")&amp;IF(N(Transaksi!$C28)&lt;0,"Nominal negatif. ","")&amp;IF(Transaksi!$B28="","Jenis belum diisi. ","")&amp;IF(Transaksi!$E28="","Kategori belum diisi. ","")&amp;IF(Transaksi!$A28&gt;TODAY(),"Tanggal di masa depan. ","")&amp;IF(COUNTIFS(Transaksi!$A$2:$A$501,Transaksi!$A28,Transaksi!$C$2:$C$501,Transaksi!$C28,Transaksi!$D$2:$D$501,Transaksi!$D28)&gt;1,"Kemungkinan duplikat. ","")))</f>
        <v/>
      </c>
    </row>
    <row r="40" ht="18" customHeight="1">
      <c r="B40" s="21">
        <f>IF(Transaksi!$A29="","",29)</f>
        <v/>
      </c>
      <c r="C40" s="20">
        <f>IF(Transaksi!$A29="","",Transaksi!$A29)</f>
        <v/>
      </c>
      <c r="D40" s="22">
        <f>IF(Transaksi!$A29="","",Transaksi!$C29)</f>
        <v/>
      </c>
      <c r="E40" s="21">
        <f>IF(Transaksi!$A29="","",Transaksi!$D29)</f>
        <v/>
      </c>
      <c r="F40" s="21">
        <f>IF(Transaksi!$A29="","",TRIM(IF(Transaksi!$C29="","Nominal kosong. ","")&amp;IF(N(Transaksi!$C29)&lt;0,"Nominal negatif. ","")&amp;IF(Transaksi!$B29="","Jenis belum diisi. ","")&amp;IF(Transaksi!$E29="","Kategori belum diisi. ","")&amp;IF(Transaksi!$A29&gt;TODAY(),"Tanggal di masa depan. ","")&amp;IF(COUNTIFS(Transaksi!$A$2:$A$501,Transaksi!$A29,Transaksi!$C$2:$C$501,Transaksi!$C29,Transaksi!$D$2:$D$501,Transaksi!$D29)&gt;1,"Kemungkinan duplikat. ","")))</f>
        <v/>
      </c>
    </row>
    <row r="41" ht="18" customHeight="1">
      <c r="B41" s="21">
        <f>IF(Transaksi!$A30="","",30)</f>
        <v/>
      </c>
      <c r="C41" s="20">
        <f>IF(Transaksi!$A30="","",Transaksi!$A30)</f>
        <v/>
      </c>
      <c r="D41" s="22">
        <f>IF(Transaksi!$A30="","",Transaksi!$C30)</f>
        <v/>
      </c>
      <c r="E41" s="21">
        <f>IF(Transaksi!$A30="","",Transaksi!$D30)</f>
        <v/>
      </c>
      <c r="F41" s="21">
        <f>IF(Transaksi!$A30="","",TRIM(IF(Transaksi!$C30="","Nominal kosong. ","")&amp;IF(N(Transaksi!$C30)&lt;0,"Nominal negatif. ","")&amp;IF(Transaksi!$B30="","Jenis belum diisi. ","")&amp;IF(Transaksi!$E30="","Kategori belum diisi. ","")&amp;IF(Transaksi!$A30&gt;TODAY(),"Tanggal di masa depan. ","")&amp;IF(COUNTIFS(Transaksi!$A$2:$A$501,Transaksi!$A30,Transaksi!$C$2:$C$501,Transaksi!$C30,Transaksi!$D$2:$D$501,Transaksi!$D30)&gt;1,"Kemungkinan duplikat. ","")))</f>
        <v/>
      </c>
    </row>
    <row r="42" ht="18" customHeight="1">
      <c r="B42" s="21">
        <f>IF(Transaksi!$A31="","",31)</f>
        <v/>
      </c>
      <c r="C42" s="20">
        <f>IF(Transaksi!$A31="","",Transaksi!$A31)</f>
        <v/>
      </c>
      <c r="D42" s="22">
        <f>IF(Transaksi!$A31="","",Transaksi!$C31)</f>
        <v/>
      </c>
      <c r="E42" s="21">
        <f>IF(Transaksi!$A31="","",Transaksi!$D31)</f>
        <v/>
      </c>
      <c r="F42" s="21">
        <f>IF(Transaksi!$A31="","",TRIM(IF(Transaksi!$C31="","Nominal kosong. ","")&amp;IF(N(Transaksi!$C31)&lt;0,"Nominal negatif. ","")&amp;IF(Transaksi!$B31="","Jenis belum diisi. ","")&amp;IF(Transaksi!$E31="","Kategori belum diisi. ","")&amp;IF(Transaksi!$A31&gt;TODAY(),"Tanggal di masa depan. ","")&amp;IF(COUNTIFS(Transaksi!$A$2:$A$501,Transaksi!$A31,Transaksi!$C$2:$C$501,Transaksi!$C31,Transaksi!$D$2:$D$501,Transaksi!$D31)&gt;1,"Kemungkinan duplikat. ","")))</f>
        <v/>
      </c>
    </row>
    <row r="43" ht="18" customHeight="1">
      <c r="B43" s="21">
        <f>IF(Transaksi!$A32="","",32)</f>
        <v/>
      </c>
      <c r="C43" s="20">
        <f>IF(Transaksi!$A32="","",Transaksi!$A32)</f>
        <v/>
      </c>
      <c r="D43" s="22">
        <f>IF(Transaksi!$A32="","",Transaksi!$C32)</f>
        <v/>
      </c>
      <c r="E43" s="21">
        <f>IF(Transaksi!$A32="","",Transaksi!$D32)</f>
        <v/>
      </c>
      <c r="F43" s="21">
        <f>IF(Transaksi!$A32="","",TRIM(IF(Transaksi!$C32="","Nominal kosong. ","")&amp;IF(N(Transaksi!$C32)&lt;0,"Nominal negatif. ","")&amp;IF(Transaksi!$B32="","Jenis belum diisi. ","")&amp;IF(Transaksi!$E32="","Kategori belum diisi. ","")&amp;IF(Transaksi!$A32&gt;TODAY(),"Tanggal di masa depan. ","")&amp;IF(COUNTIFS(Transaksi!$A$2:$A$501,Transaksi!$A32,Transaksi!$C$2:$C$501,Transaksi!$C32,Transaksi!$D$2:$D$501,Transaksi!$D32)&gt;1,"Kemungkinan duplikat. ","")))</f>
        <v/>
      </c>
    </row>
    <row r="44" ht="18" customHeight="1">
      <c r="B44" s="21">
        <f>IF(Transaksi!$A33="","",33)</f>
        <v/>
      </c>
      <c r="C44" s="20">
        <f>IF(Transaksi!$A33="","",Transaksi!$A33)</f>
        <v/>
      </c>
      <c r="D44" s="22">
        <f>IF(Transaksi!$A33="","",Transaksi!$C33)</f>
        <v/>
      </c>
      <c r="E44" s="21">
        <f>IF(Transaksi!$A33="","",Transaksi!$D33)</f>
        <v/>
      </c>
      <c r="F44" s="21">
        <f>IF(Transaksi!$A33="","",TRIM(IF(Transaksi!$C33="","Nominal kosong. ","")&amp;IF(N(Transaksi!$C33)&lt;0,"Nominal negatif. ","")&amp;IF(Transaksi!$B33="","Jenis belum diisi. ","")&amp;IF(Transaksi!$E33="","Kategori belum diisi. ","")&amp;IF(Transaksi!$A33&gt;TODAY(),"Tanggal di masa depan. ","")&amp;IF(COUNTIFS(Transaksi!$A$2:$A$501,Transaksi!$A33,Transaksi!$C$2:$C$501,Transaksi!$C33,Transaksi!$D$2:$D$501,Transaksi!$D33)&gt;1,"Kemungkinan duplikat. ","")))</f>
        <v/>
      </c>
    </row>
    <row r="45" ht="18" customHeight="1">
      <c r="B45" s="21">
        <f>IF(Transaksi!$A34="","",34)</f>
        <v/>
      </c>
      <c r="C45" s="20">
        <f>IF(Transaksi!$A34="","",Transaksi!$A34)</f>
        <v/>
      </c>
      <c r="D45" s="22">
        <f>IF(Transaksi!$A34="","",Transaksi!$C34)</f>
        <v/>
      </c>
      <c r="E45" s="21">
        <f>IF(Transaksi!$A34="","",Transaksi!$D34)</f>
        <v/>
      </c>
      <c r="F45" s="21">
        <f>IF(Transaksi!$A34="","",TRIM(IF(Transaksi!$C34="","Nominal kosong. ","")&amp;IF(N(Transaksi!$C34)&lt;0,"Nominal negatif. ","")&amp;IF(Transaksi!$B34="","Jenis belum diisi. ","")&amp;IF(Transaksi!$E34="","Kategori belum diisi. ","")&amp;IF(Transaksi!$A34&gt;TODAY(),"Tanggal di masa depan. ","")&amp;IF(COUNTIFS(Transaksi!$A$2:$A$501,Transaksi!$A34,Transaksi!$C$2:$C$501,Transaksi!$C34,Transaksi!$D$2:$D$501,Transaksi!$D34)&gt;1,"Kemungkinan duplikat. ","")))</f>
        <v/>
      </c>
    </row>
    <row r="46" ht="18" customHeight="1">
      <c r="B46" s="21">
        <f>IF(Transaksi!$A35="","",35)</f>
        <v/>
      </c>
      <c r="C46" s="20">
        <f>IF(Transaksi!$A35="","",Transaksi!$A35)</f>
        <v/>
      </c>
      <c r="D46" s="22">
        <f>IF(Transaksi!$A35="","",Transaksi!$C35)</f>
        <v/>
      </c>
      <c r="E46" s="21">
        <f>IF(Transaksi!$A35="","",Transaksi!$D35)</f>
        <v/>
      </c>
      <c r="F46" s="21">
        <f>IF(Transaksi!$A35="","",TRIM(IF(Transaksi!$C35="","Nominal kosong. ","")&amp;IF(N(Transaksi!$C35)&lt;0,"Nominal negatif. ","")&amp;IF(Transaksi!$B35="","Jenis belum diisi. ","")&amp;IF(Transaksi!$E35="","Kategori belum diisi. ","")&amp;IF(Transaksi!$A35&gt;TODAY(),"Tanggal di masa depan. ","")&amp;IF(COUNTIFS(Transaksi!$A$2:$A$501,Transaksi!$A35,Transaksi!$C$2:$C$501,Transaksi!$C35,Transaksi!$D$2:$D$501,Transaksi!$D35)&gt;1,"Kemungkinan duplikat. ","")))</f>
        <v/>
      </c>
    </row>
    <row r="47" ht="18" customHeight="1">
      <c r="B47" s="21">
        <f>IF(Transaksi!$A36="","",36)</f>
        <v/>
      </c>
      <c r="C47" s="20">
        <f>IF(Transaksi!$A36="","",Transaksi!$A36)</f>
        <v/>
      </c>
      <c r="D47" s="22">
        <f>IF(Transaksi!$A36="","",Transaksi!$C36)</f>
        <v/>
      </c>
      <c r="E47" s="21">
        <f>IF(Transaksi!$A36="","",Transaksi!$D36)</f>
        <v/>
      </c>
      <c r="F47" s="21">
        <f>IF(Transaksi!$A36="","",TRIM(IF(Transaksi!$C36="","Nominal kosong. ","")&amp;IF(N(Transaksi!$C36)&lt;0,"Nominal negatif. ","")&amp;IF(Transaksi!$B36="","Jenis belum diisi. ","")&amp;IF(Transaksi!$E36="","Kategori belum diisi. ","")&amp;IF(Transaksi!$A36&gt;TODAY(),"Tanggal di masa depan. ","")&amp;IF(COUNTIFS(Transaksi!$A$2:$A$501,Transaksi!$A36,Transaksi!$C$2:$C$501,Transaksi!$C36,Transaksi!$D$2:$D$501,Transaksi!$D36)&gt;1,"Kemungkinan duplikat. ","")))</f>
        <v/>
      </c>
    </row>
    <row r="48" ht="18" customHeight="1">
      <c r="B48" s="21">
        <f>IF(Transaksi!$A37="","",37)</f>
        <v/>
      </c>
      <c r="C48" s="20">
        <f>IF(Transaksi!$A37="","",Transaksi!$A37)</f>
        <v/>
      </c>
      <c r="D48" s="22">
        <f>IF(Transaksi!$A37="","",Transaksi!$C37)</f>
        <v/>
      </c>
      <c r="E48" s="21">
        <f>IF(Transaksi!$A37="","",Transaksi!$D37)</f>
        <v/>
      </c>
      <c r="F48" s="21">
        <f>IF(Transaksi!$A37="","",TRIM(IF(Transaksi!$C37="","Nominal kosong. ","")&amp;IF(N(Transaksi!$C37)&lt;0,"Nominal negatif. ","")&amp;IF(Transaksi!$B37="","Jenis belum diisi. ","")&amp;IF(Transaksi!$E37="","Kategori belum diisi. ","")&amp;IF(Transaksi!$A37&gt;TODAY(),"Tanggal di masa depan. ","")&amp;IF(COUNTIFS(Transaksi!$A$2:$A$501,Transaksi!$A37,Transaksi!$C$2:$C$501,Transaksi!$C37,Transaksi!$D$2:$D$501,Transaksi!$D37)&gt;1,"Kemungkinan duplikat. ","")))</f>
        <v/>
      </c>
    </row>
    <row r="49" ht="18" customHeight="1">
      <c r="B49" s="21">
        <f>IF(Transaksi!$A38="","",38)</f>
        <v/>
      </c>
      <c r="C49" s="20">
        <f>IF(Transaksi!$A38="","",Transaksi!$A38)</f>
        <v/>
      </c>
      <c r="D49" s="22">
        <f>IF(Transaksi!$A38="","",Transaksi!$C38)</f>
        <v/>
      </c>
      <c r="E49" s="21">
        <f>IF(Transaksi!$A38="","",Transaksi!$D38)</f>
        <v/>
      </c>
      <c r="F49" s="21">
        <f>IF(Transaksi!$A38="","",TRIM(IF(Transaksi!$C38="","Nominal kosong. ","")&amp;IF(N(Transaksi!$C38)&lt;0,"Nominal negatif. ","")&amp;IF(Transaksi!$B38="","Jenis belum diisi. ","")&amp;IF(Transaksi!$E38="","Kategori belum diisi. ","")&amp;IF(Transaksi!$A38&gt;TODAY(),"Tanggal di masa depan. ","")&amp;IF(COUNTIFS(Transaksi!$A$2:$A$501,Transaksi!$A38,Transaksi!$C$2:$C$501,Transaksi!$C38,Transaksi!$D$2:$D$501,Transaksi!$D38)&gt;1,"Kemungkinan duplikat. ","")))</f>
        <v/>
      </c>
    </row>
    <row r="50" ht="18" customHeight="1">
      <c r="B50" s="21">
        <f>IF(Transaksi!$A39="","",39)</f>
        <v/>
      </c>
      <c r="C50" s="20">
        <f>IF(Transaksi!$A39="","",Transaksi!$A39)</f>
        <v/>
      </c>
      <c r="D50" s="22">
        <f>IF(Transaksi!$A39="","",Transaksi!$C39)</f>
        <v/>
      </c>
      <c r="E50" s="21">
        <f>IF(Transaksi!$A39="","",Transaksi!$D39)</f>
        <v/>
      </c>
      <c r="F50" s="21">
        <f>IF(Transaksi!$A39="","",TRIM(IF(Transaksi!$C39="","Nominal kosong. ","")&amp;IF(N(Transaksi!$C39)&lt;0,"Nominal negatif. ","")&amp;IF(Transaksi!$B39="","Jenis belum diisi. ","")&amp;IF(Transaksi!$E39="","Kategori belum diisi. ","")&amp;IF(Transaksi!$A39&gt;TODAY(),"Tanggal di masa depan. ","")&amp;IF(COUNTIFS(Transaksi!$A$2:$A$501,Transaksi!$A39,Transaksi!$C$2:$C$501,Transaksi!$C39,Transaksi!$D$2:$D$501,Transaksi!$D39)&gt;1,"Kemungkinan duplikat. ","")))</f>
        <v/>
      </c>
    </row>
    <row r="51" ht="18" customHeight="1">
      <c r="B51" s="21">
        <f>IF(Transaksi!$A40="","",40)</f>
        <v/>
      </c>
      <c r="C51" s="20">
        <f>IF(Transaksi!$A40="","",Transaksi!$A40)</f>
        <v/>
      </c>
      <c r="D51" s="22">
        <f>IF(Transaksi!$A40="","",Transaksi!$C40)</f>
        <v/>
      </c>
      <c r="E51" s="21">
        <f>IF(Transaksi!$A40="","",Transaksi!$D40)</f>
        <v/>
      </c>
      <c r="F51" s="21">
        <f>IF(Transaksi!$A40="","",TRIM(IF(Transaksi!$C40="","Nominal kosong. ","")&amp;IF(N(Transaksi!$C40)&lt;0,"Nominal negatif. ","")&amp;IF(Transaksi!$B40="","Jenis belum diisi. ","")&amp;IF(Transaksi!$E40="","Kategori belum diisi. ","")&amp;IF(Transaksi!$A40&gt;TODAY(),"Tanggal di masa depan. ","")&amp;IF(COUNTIFS(Transaksi!$A$2:$A$501,Transaksi!$A40,Transaksi!$C$2:$C$501,Transaksi!$C40,Transaksi!$D$2:$D$501,Transaksi!$D40)&gt;1,"Kemungkinan duplikat. ","")))</f>
        <v/>
      </c>
    </row>
    <row r="52" ht="18" customHeight="1">
      <c r="B52" s="21">
        <f>IF(Transaksi!$A41="","",41)</f>
        <v/>
      </c>
      <c r="C52" s="20">
        <f>IF(Transaksi!$A41="","",Transaksi!$A41)</f>
        <v/>
      </c>
      <c r="D52" s="22">
        <f>IF(Transaksi!$A41="","",Transaksi!$C41)</f>
        <v/>
      </c>
      <c r="E52" s="21">
        <f>IF(Transaksi!$A41="","",Transaksi!$D41)</f>
        <v/>
      </c>
      <c r="F52" s="21">
        <f>IF(Transaksi!$A41="","",TRIM(IF(Transaksi!$C41="","Nominal kosong. ","")&amp;IF(N(Transaksi!$C41)&lt;0,"Nominal negatif. ","")&amp;IF(Transaksi!$B41="","Jenis belum diisi. ","")&amp;IF(Transaksi!$E41="","Kategori belum diisi. ","")&amp;IF(Transaksi!$A41&gt;TODAY(),"Tanggal di masa depan. ","")&amp;IF(COUNTIFS(Transaksi!$A$2:$A$501,Transaksi!$A41,Transaksi!$C$2:$C$501,Transaksi!$C41,Transaksi!$D$2:$D$501,Transaksi!$D41)&gt;1,"Kemungkinan duplikat. ","")))</f>
        <v/>
      </c>
    </row>
    <row r="53" ht="18" customHeight="1">
      <c r="B53" s="21">
        <f>IF(Transaksi!$A42="","",42)</f>
        <v/>
      </c>
      <c r="C53" s="20">
        <f>IF(Transaksi!$A42="","",Transaksi!$A42)</f>
        <v/>
      </c>
      <c r="D53" s="22">
        <f>IF(Transaksi!$A42="","",Transaksi!$C42)</f>
        <v/>
      </c>
      <c r="E53" s="21">
        <f>IF(Transaksi!$A42="","",Transaksi!$D42)</f>
        <v/>
      </c>
      <c r="F53" s="21">
        <f>IF(Transaksi!$A42="","",TRIM(IF(Transaksi!$C42="","Nominal kosong. ","")&amp;IF(N(Transaksi!$C42)&lt;0,"Nominal negatif. ","")&amp;IF(Transaksi!$B42="","Jenis belum diisi. ","")&amp;IF(Transaksi!$E42="","Kategori belum diisi. ","")&amp;IF(Transaksi!$A42&gt;TODAY(),"Tanggal di masa depan. ","")&amp;IF(COUNTIFS(Transaksi!$A$2:$A$501,Transaksi!$A42,Transaksi!$C$2:$C$501,Transaksi!$C42,Transaksi!$D$2:$D$501,Transaksi!$D42)&gt;1,"Kemungkinan duplikat. ","")))</f>
        <v/>
      </c>
    </row>
    <row r="54" ht="18" customHeight="1">
      <c r="B54" s="21">
        <f>IF(Transaksi!$A43="","",43)</f>
        <v/>
      </c>
      <c r="C54" s="20">
        <f>IF(Transaksi!$A43="","",Transaksi!$A43)</f>
        <v/>
      </c>
      <c r="D54" s="22">
        <f>IF(Transaksi!$A43="","",Transaksi!$C43)</f>
        <v/>
      </c>
      <c r="E54" s="21">
        <f>IF(Transaksi!$A43="","",Transaksi!$D43)</f>
        <v/>
      </c>
      <c r="F54" s="21">
        <f>IF(Transaksi!$A43="","",TRIM(IF(Transaksi!$C43="","Nominal kosong. ","")&amp;IF(N(Transaksi!$C43)&lt;0,"Nominal negatif. ","")&amp;IF(Transaksi!$B43="","Jenis belum diisi. ","")&amp;IF(Transaksi!$E43="","Kategori belum diisi. ","")&amp;IF(Transaksi!$A43&gt;TODAY(),"Tanggal di masa depan. ","")&amp;IF(COUNTIFS(Transaksi!$A$2:$A$501,Transaksi!$A43,Transaksi!$C$2:$C$501,Transaksi!$C43,Transaksi!$D$2:$D$501,Transaksi!$D43)&gt;1,"Kemungkinan duplikat. ","")))</f>
        <v/>
      </c>
    </row>
    <row r="55" ht="18" customHeight="1">
      <c r="B55" s="21">
        <f>IF(Transaksi!$A44="","",44)</f>
        <v/>
      </c>
      <c r="C55" s="20">
        <f>IF(Transaksi!$A44="","",Transaksi!$A44)</f>
        <v/>
      </c>
      <c r="D55" s="22">
        <f>IF(Transaksi!$A44="","",Transaksi!$C44)</f>
        <v/>
      </c>
      <c r="E55" s="21">
        <f>IF(Transaksi!$A44="","",Transaksi!$D44)</f>
        <v/>
      </c>
      <c r="F55" s="21">
        <f>IF(Transaksi!$A44="","",TRIM(IF(Transaksi!$C44="","Nominal kosong. ","")&amp;IF(N(Transaksi!$C44)&lt;0,"Nominal negatif. ","")&amp;IF(Transaksi!$B44="","Jenis belum diisi. ","")&amp;IF(Transaksi!$E44="","Kategori belum diisi. ","")&amp;IF(Transaksi!$A44&gt;TODAY(),"Tanggal di masa depan. ","")&amp;IF(COUNTIFS(Transaksi!$A$2:$A$501,Transaksi!$A44,Transaksi!$C$2:$C$501,Transaksi!$C44,Transaksi!$D$2:$D$501,Transaksi!$D44)&gt;1,"Kemungkinan duplikat. ","")))</f>
        <v/>
      </c>
    </row>
    <row r="56" ht="18" customHeight="1">
      <c r="B56" s="21">
        <f>IF(Transaksi!$A45="","",45)</f>
        <v/>
      </c>
      <c r="C56" s="20">
        <f>IF(Transaksi!$A45="","",Transaksi!$A45)</f>
        <v/>
      </c>
      <c r="D56" s="22">
        <f>IF(Transaksi!$A45="","",Transaksi!$C45)</f>
        <v/>
      </c>
      <c r="E56" s="21">
        <f>IF(Transaksi!$A45="","",Transaksi!$D45)</f>
        <v/>
      </c>
      <c r="F56" s="21">
        <f>IF(Transaksi!$A45="","",TRIM(IF(Transaksi!$C45="","Nominal kosong. ","")&amp;IF(N(Transaksi!$C45)&lt;0,"Nominal negatif. ","")&amp;IF(Transaksi!$B45="","Jenis belum diisi. ","")&amp;IF(Transaksi!$E45="","Kategori belum diisi. ","")&amp;IF(Transaksi!$A45&gt;TODAY(),"Tanggal di masa depan. ","")&amp;IF(COUNTIFS(Transaksi!$A$2:$A$501,Transaksi!$A45,Transaksi!$C$2:$C$501,Transaksi!$C45,Transaksi!$D$2:$D$501,Transaksi!$D45)&gt;1,"Kemungkinan duplikat. ","")))</f>
        <v/>
      </c>
    </row>
    <row r="57" ht="18" customHeight="1">
      <c r="B57" s="21">
        <f>IF(Transaksi!$A46="","",46)</f>
        <v/>
      </c>
      <c r="C57" s="20">
        <f>IF(Transaksi!$A46="","",Transaksi!$A46)</f>
        <v/>
      </c>
      <c r="D57" s="22">
        <f>IF(Transaksi!$A46="","",Transaksi!$C46)</f>
        <v/>
      </c>
      <c r="E57" s="21">
        <f>IF(Transaksi!$A46="","",Transaksi!$D46)</f>
        <v/>
      </c>
      <c r="F57" s="21">
        <f>IF(Transaksi!$A46="","",TRIM(IF(Transaksi!$C46="","Nominal kosong. ","")&amp;IF(N(Transaksi!$C46)&lt;0,"Nominal negatif. ","")&amp;IF(Transaksi!$B46="","Jenis belum diisi. ","")&amp;IF(Transaksi!$E46="","Kategori belum diisi. ","")&amp;IF(Transaksi!$A46&gt;TODAY(),"Tanggal di masa depan. ","")&amp;IF(COUNTIFS(Transaksi!$A$2:$A$501,Transaksi!$A46,Transaksi!$C$2:$C$501,Transaksi!$C46,Transaksi!$D$2:$D$501,Transaksi!$D46)&gt;1,"Kemungkinan duplikat. ","")))</f>
        <v/>
      </c>
    </row>
    <row r="58" ht="18" customHeight="1">
      <c r="B58" s="21">
        <f>IF(Transaksi!$A47="","",47)</f>
        <v/>
      </c>
      <c r="C58" s="20">
        <f>IF(Transaksi!$A47="","",Transaksi!$A47)</f>
        <v/>
      </c>
      <c r="D58" s="22">
        <f>IF(Transaksi!$A47="","",Transaksi!$C47)</f>
        <v/>
      </c>
      <c r="E58" s="21">
        <f>IF(Transaksi!$A47="","",Transaksi!$D47)</f>
        <v/>
      </c>
      <c r="F58" s="21">
        <f>IF(Transaksi!$A47="","",TRIM(IF(Transaksi!$C47="","Nominal kosong. ","")&amp;IF(N(Transaksi!$C47)&lt;0,"Nominal negatif. ","")&amp;IF(Transaksi!$B47="","Jenis belum diisi. ","")&amp;IF(Transaksi!$E47="","Kategori belum diisi. ","")&amp;IF(Transaksi!$A47&gt;TODAY(),"Tanggal di masa depan. ","")&amp;IF(COUNTIFS(Transaksi!$A$2:$A$501,Transaksi!$A47,Transaksi!$C$2:$C$501,Transaksi!$C47,Transaksi!$D$2:$D$501,Transaksi!$D47)&gt;1,"Kemungkinan duplikat. ","")))</f>
        <v/>
      </c>
    </row>
    <row r="59" ht="18" customHeight="1">
      <c r="B59" s="21">
        <f>IF(Transaksi!$A48="","",48)</f>
        <v/>
      </c>
      <c r="C59" s="20">
        <f>IF(Transaksi!$A48="","",Transaksi!$A48)</f>
        <v/>
      </c>
      <c r="D59" s="22">
        <f>IF(Transaksi!$A48="","",Transaksi!$C48)</f>
        <v/>
      </c>
      <c r="E59" s="21">
        <f>IF(Transaksi!$A48="","",Transaksi!$D48)</f>
        <v/>
      </c>
      <c r="F59" s="21">
        <f>IF(Transaksi!$A48="","",TRIM(IF(Transaksi!$C48="","Nominal kosong. ","")&amp;IF(N(Transaksi!$C48)&lt;0,"Nominal negatif. ","")&amp;IF(Transaksi!$B48="","Jenis belum diisi. ","")&amp;IF(Transaksi!$E48="","Kategori belum diisi. ","")&amp;IF(Transaksi!$A48&gt;TODAY(),"Tanggal di masa depan. ","")&amp;IF(COUNTIFS(Transaksi!$A$2:$A$501,Transaksi!$A48,Transaksi!$C$2:$C$501,Transaksi!$C48,Transaksi!$D$2:$D$501,Transaksi!$D48)&gt;1,"Kemungkinan duplikat. ","")))</f>
        <v/>
      </c>
    </row>
    <row r="60" ht="18" customHeight="1">
      <c r="B60" s="21">
        <f>IF(Transaksi!$A49="","",49)</f>
        <v/>
      </c>
      <c r="C60" s="20">
        <f>IF(Transaksi!$A49="","",Transaksi!$A49)</f>
        <v/>
      </c>
      <c r="D60" s="22">
        <f>IF(Transaksi!$A49="","",Transaksi!$C49)</f>
        <v/>
      </c>
      <c r="E60" s="21">
        <f>IF(Transaksi!$A49="","",Transaksi!$D49)</f>
        <v/>
      </c>
      <c r="F60" s="21">
        <f>IF(Transaksi!$A49="","",TRIM(IF(Transaksi!$C49="","Nominal kosong. ","")&amp;IF(N(Transaksi!$C49)&lt;0,"Nominal negatif. ","")&amp;IF(Transaksi!$B49="","Jenis belum diisi. ","")&amp;IF(Transaksi!$E49="","Kategori belum diisi. ","")&amp;IF(Transaksi!$A49&gt;TODAY(),"Tanggal di masa depan. ","")&amp;IF(COUNTIFS(Transaksi!$A$2:$A$501,Transaksi!$A49,Transaksi!$C$2:$C$501,Transaksi!$C49,Transaksi!$D$2:$D$501,Transaksi!$D49)&gt;1,"Kemungkinan duplikat. ","")))</f>
        <v/>
      </c>
    </row>
    <row r="61" ht="18" customHeight="1">
      <c r="B61" s="21">
        <f>IF(Transaksi!$A50="","",50)</f>
        <v/>
      </c>
      <c r="C61" s="20">
        <f>IF(Transaksi!$A50="","",Transaksi!$A50)</f>
        <v/>
      </c>
      <c r="D61" s="22">
        <f>IF(Transaksi!$A50="","",Transaksi!$C50)</f>
        <v/>
      </c>
      <c r="E61" s="21">
        <f>IF(Transaksi!$A50="","",Transaksi!$D50)</f>
        <v/>
      </c>
      <c r="F61" s="21">
        <f>IF(Transaksi!$A50="","",TRIM(IF(Transaksi!$C50="","Nominal kosong. ","")&amp;IF(N(Transaksi!$C50)&lt;0,"Nominal negatif. ","")&amp;IF(Transaksi!$B50="","Jenis belum diisi. ","")&amp;IF(Transaksi!$E50="","Kategori belum diisi. ","")&amp;IF(Transaksi!$A50&gt;TODAY(),"Tanggal di masa depan. ","")&amp;IF(COUNTIFS(Transaksi!$A$2:$A$501,Transaksi!$A50,Transaksi!$C$2:$C$501,Transaksi!$C50,Transaksi!$D$2:$D$501,Transaksi!$D50)&gt;1,"Kemungkinan duplikat. ","")))</f>
        <v/>
      </c>
    </row>
    <row r="62" ht="18" customHeight="1">
      <c r="B62" s="21">
        <f>IF(Transaksi!$A51="","",51)</f>
        <v/>
      </c>
      <c r="C62" s="20">
        <f>IF(Transaksi!$A51="","",Transaksi!$A51)</f>
        <v/>
      </c>
      <c r="D62" s="22">
        <f>IF(Transaksi!$A51="","",Transaksi!$C51)</f>
        <v/>
      </c>
      <c r="E62" s="21">
        <f>IF(Transaksi!$A51="","",Transaksi!$D51)</f>
        <v/>
      </c>
      <c r="F62" s="21">
        <f>IF(Transaksi!$A51="","",TRIM(IF(Transaksi!$C51="","Nominal kosong. ","")&amp;IF(N(Transaksi!$C51)&lt;0,"Nominal negatif. ","")&amp;IF(Transaksi!$B51="","Jenis belum diisi. ","")&amp;IF(Transaksi!$E51="","Kategori belum diisi. ","")&amp;IF(Transaksi!$A51&gt;TODAY(),"Tanggal di masa depan. ","")&amp;IF(COUNTIFS(Transaksi!$A$2:$A$501,Transaksi!$A51,Transaksi!$C$2:$C$501,Transaksi!$C51,Transaksi!$D$2:$D$501,Transaksi!$D51)&gt;1,"Kemungkinan duplikat. ","")))</f>
        <v/>
      </c>
    </row>
    <row r="63" ht="18" customHeight="1">
      <c r="B63" s="21">
        <f>IF(Transaksi!$A52="","",52)</f>
        <v/>
      </c>
      <c r="C63" s="20">
        <f>IF(Transaksi!$A52="","",Transaksi!$A52)</f>
        <v/>
      </c>
      <c r="D63" s="22">
        <f>IF(Transaksi!$A52="","",Transaksi!$C52)</f>
        <v/>
      </c>
      <c r="E63" s="21">
        <f>IF(Transaksi!$A52="","",Transaksi!$D52)</f>
        <v/>
      </c>
      <c r="F63" s="21">
        <f>IF(Transaksi!$A52="","",TRIM(IF(Transaksi!$C52="","Nominal kosong. ","")&amp;IF(N(Transaksi!$C52)&lt;0,"Nominal negatif. ","")&amp;IF(Transaksi!$B52="","Jenis belum diisi. ","")&amp;IF(Transaksi!$E52="","Kategori belum diisi. ","")&amp;IF(Transaksi!$A52&gt;TODAY(),"Tanggal di masa depan. ","")&amp;IF(COUNTIFS(Transaksi!$A$2:$A$501,Transaksi!$A52,Transaksi!$C$2:$C$501,Transaksi!$C52,Transaksi!$D$2:$D$501,Transaksi!$D52)&gt;1,"Kemungkinan duplikat. ","")))</f>
        <v/>
      </c>
    </row>
    <row r="64" ht="18" customHeight="1">
      <c r="B64" s="21">
        <f>IF(Transaksi!$A53="","",53)</f>
        <v/>
      </c>
      <c r="C64" s="20">
        <f>IF(Transaksi!$A53="","",Transaksi!$A53)</f>
        <v/>
      </c>
      <c r="D64" s="22">
        <f>IF(Transaksi!$A53="","",Transaksi!$C53)</f>
        <v/>
      </c>
      <c r="E64" s="21">
        <f>IF(Transaksi!$A53="","",Transaksi!$D53)</f>
        <v/>
      </c>
      <c r="F64" s="21">
        <f>IF(Transaksi!$A53="","",TRIM(IF(Transaksi!$C53="","Nominal kosong. ","")&amp;IF(N(Transaksi!$C53)&lt;0,"Nominal negatif. ","")&amp;IF(Transaksi!$B53="","Jenis belum diisi. ","")&amp;IF(Transaksi!$E53="","Kategori belum diisi. ","")&amp;IF(Transaksi!$A53&gt;TODAY(),"Tanggal di masa depan. ","")&amp;IF(COUNTIFS(Transaksi!$A$2:$A$501,Transaksi!$A53,Transaksi!$C$2:$C$501,Transaksi!$C53,Transaksi!$D$2:$D$501,Transaksi!$D53)&gt;1,"Kemungkinan duplikat. ","")))</f>
        <v/>
      </c>
    </row>
    <row r="65" ht="18" customHeight="1">
      <c r="B65" s="21">
        <f>IF(Transaksi!$A54="","",54)</f>
        <v/>
      </c>
      <c r="C65" s="20">
        <f>IF(Transaksi!$A54="","",Transaksi!$A54)</f>
        <v/>
      </c>
      <c r="D65" s="22">
        <f>IF(Transaksi!$A54="","",Transaksi!$C54)</f>
        <v/>
      </c>
      <c r="E65" s="21">
        <f>IF(Transaksi!$A54="","",Transaksi!$D54)</f>
        <v/>
      </c>
      <c r="F65" s="21">
        <f>IF(Transaksi!$A54="","",TRIM(IF(Transaksi!$C54="","Nominal kosong. ","")&amp;IF(N(Transaksi!$C54)&lt;0,"Nominal negatif. ","")&amp;IF(Transaksi!$B54="","Jenis belum diisi. ","")&amp;IF(Transaksi!$E54="","Kategori belum diisi. ","")&amp;IF(Transaksi!$A54&gt;TODAY(),"Tanggal di masa depan. ","")&amp;IF(COUNTIFS(Transaksi!$A$2:$A$501,Transaksi!$A54,Transaksi!$C$2:$C$501,Transaksi!$C54,Transaksi!$D$2:$D$501,Transaksi!$D54)&gt;1,"Kemungkinan duplikat. ","")))</f>
        <v/>
      </c>
    </row>
    <row r="66" ht="18" customHeight="1">
      <c r="B66" s="21">
        <f>IF(Transaksi!$A55="","",55)</f>
        <v/>
      </c>
      <c r="C66" s="20">
        <f>IF(Transaksi!$A55="","",Transaksi!$A55)</f>
        <v/>
      </c>
      <c r="D66" s="22">
        <f>IF(Transaksi!$A55="","",Transaksi!$C55)</f>
        <v/>
      </c>
      <c r="E66" s="21">
        <f>IF(Transaksi!$A55="","",Transaksi!$D55)</f>
        <v/>
      </c>
      <c r="F66" s="21">
        <f>IF(Transaksi!$A55="","",TRIM(IF(Transaksi!$C55="","Nominal kosong. ","")&amp;IF(N(Transaksi!$C55)&lt;0,"Nominal negatif. ","")&amp;IF(Transaksi!$B55="","Jenis belum diisi. ","")&amp;IF(Transaksi!$E55="","Kategori belum diisi. ","")&amp;IF(Transaksi!$A55&gt;TODAY(),"Tanggal di masa depan. ","")&amp;IF(COUNTIFS(Transaksi!$A$2:$A$501,Transaksi!$A55,Transaksi!$C$2:$C$501,Transaksi!$C55,Transaksi!$D$2:$D$501,Transaksi!$D55)&gt;1,"Kemungkinan duplikat. ","")))</f>
        <v/>
      </c>
    </row>
    <row r="67" ht="18" customHeight="1">
      <c r="B67" s="21">
        <f>IF(Transaksi!$A56="","",56)</f>
        <v/>
      </c>
      <c r="C67" s="20">
        <f>IF(Transaksi!$A56="","",Transaksi!$A56)</f>
        <v/>
      </c>
      <c r="D67" s="22">
        <f>IF(Transaksi!$A56="","",Transaksi!$C56)</f>
        <v/>
      </c>
      <c r="E67" s="21">
        <f>IF(Transaksi!$A56="","",Transaksi!$D56)</f>
        <v/>
      </c>
      <c r="F67" s="21">
        <f>IF(Transaksi!$A56="","",TRIM(IF(Transaksi!$C56="","Nominal kosong. ","")&amp;IF(N(Transaksi!$C56)&lt;0,"Nominal negatif. ","")&amp;IF(Transaksi!$B56="","Jenis belum diisi. ","")&amp;IF(Transaksi!$E56="","Kategori belum diisi. ","")&amp;IF(Transaksi!$A56&gt;TODAY(),"Tanggal di masa depan. ","")&amp;IF(COUNTIFS(Transaksi!$A$2:$A$501,Transaksi!$A56,Transaksi!$C$2:$C$501,Transaksi!$C56,Transaksi!$D$2:$D$501,Transaksi!$D56)&gt;1,"Kemungkinan duplikat. ","")))</f>
        <v/>
      </c>
    </row>
    <row r="68" ht="18" customHeight="1">
      <c r="B68" s="21">
        <f>IF(Transaksi!$A57="","",57)</f>
        <v/>
      </c>
      <c r="C68" s="20">
        <f>IF(Transaksi!$A57="","",Transaksi!$A57)</f>
        <v/>
      </c>
      <c r="D68" s="22">
        <f>IF(Transaksi!$A57="","",Transaksi!$C57)</f>
        <v/>
      </c>
      <c r="E68" s="21">
        <f>IF(Transaksi!$A57="","",Transaksi!$D57)</f>
        <v/>
      </c>
      <c r="F68" s="21">
        <f>IF(Transaksi!$A57="","",TRIM(IF(Transaksi!$C57="","Nominal kosong. ","")&amp;IF(N(Transaksi!$C57)&lt;0,"Nominal negatif. ","")&amp;IF(Transaksi!$B57="","Jenis belum diisi. ","")&amp;IF(Transaksi!$E57="","Kategori belum diisi. ","")&amp;IF(Transaksi!$A57&gt;TODAY(),"Tanggal di masa depan. ","")&amp;IF(COUNTIFS(Transaksi!$A$2:$A$501,Transaksi!$A57,Transaksi!$C$2:$C$501,Transaksi!$C57,Transaksi!$D$2:$D$501,Transaksi!$D57)&gt;1,"Kemungkinan duplikat. ","")))</f>
        <v/>
      </c>
    </row>
    <row r="69" ht="18" customHeight="1">
      <c r="B69" s="21">
        <f>IF(Transaksi!$A58="","",58)</f>
        <v/>
      </c>
      <c r="C69" s="20">
        <f>IF(Transaksi!$A58="","",Transaksi!$A58)</f>
        <v/>
      </c>
      <c r="D69" s="22">
        <f>IF(Transaksi!$A58="","",Transaksi!$C58)</f>
        <v/>
      </c>
      <c r="E69" s="21">
        <f>IF(Transaksi!$A58="","",Transaksi!$D58)</f>
        <v/>
      </c>
      <c r="F69" s="21">
        <f>IF(Transaksi!$A58="","",TRIM(IF(Transaksi!$C58="","Nominal kosong. ","")&amp;IF(N(Transaksi!$C58)&lt;0,"Nominal negatif. ","")&amp;IF(Transaksi!$B58="","Jenis belum diisi. ","")&amp;IF(Transaksi!$E58="","Kategori belum diisi. ","")&amp;IF(Transaksi!$A58&gt;TODAY(),"Tanggal di masa depan. ","")&amp;IF(COUNTIFS(Transaksi!$A$2:$A$501,Transaksi!$A58,Transaksi!$C$2:$C$501,Transaksi!$C58,Transaksi!$D$2:$D$501,Transaksi!$D58)&gt;1,"Kemungkinan duplikat. ","")))</f>
        <v/>
      </c>
    </row>
    <row r="70" ht="18" customHeight="1">
      <c r="B70" s="21">
        <f>IF(Transaksi!$A59="","",59)</f>
        <v/>
      </c>
      <c r="C70" s="20">
        <f>IF(Transaksi!$A59="","",Transaksi!$A59)</f>
        <v/>
      </c>
      <c r="D70" s="22">
        <f>IF(Transaksi!$A59="","",Transaksi!$C59)</f>
        <v/>
      </c>
      <c r="E70" s="21">
        <f>IF(Transaksi!$A59="","",Transaksi!$D59)</f>
        <v/>
      </c>
      <c r="F70" s="21">
        <f>IF(Transaksi!$A59="","",TRIM(IF(Transaksi!$C59="","Nominal kosong. ","")&amp;IF(N(Transaksi!$C59)&lt;0,"Nominal negatif. ","")&amp;IF(Transaksi!$B59="","Jenis belum diisi. ","")&amp;IF(Transaksi!$E59="","Kategori belum diisi. ","")&amp;IF(Transaksi!$A59&gt;TODAY(),"Tanggal di masa depan. ","")&amp;IF(COUNTIFS(Transaksi!$A$2:$A$501,Transaksi!$A59,Transaksi!$C$2:$C$501,Transaksi!$C59,Transaksi!$D$2:$D$501,Transaksi!$D59)&gt;1,"Kemungkinan duplikat. ","")))</f>
        <v/>
      </c>
    </row>
    <row r="71" ht="18" customHeight="1">
      <c r="B71" s="21">
        <f>IF(Transaksi!$A60="","",60)</f>
        <v/>
      </c>
      <c r="C71" s="20">
        <f>IF(Transaksi!$A60="","",Transaksi!$A60)</f>
        <v/>
      </c>
      <c r="D71" s="22">
        <f>IF(Transaksi!$A60="","",Transaksi!$C60)</f>
        <v/>
      </c>
      <c r="E71" s="21">
        <f>IF(Transaksi!$A60="","",Transaksi!$D60)</f>
        <v/>
      </c>
      <c r="F71" s="21">
        <f>IF(Transaksi!$A60="","",TRIM(IF(Transaksi!$C60="","Nominal kosong. ","")&amp;IF(N(Transaksi!$C60)&lt;0,"Nominal negatif. ","")&amp;IF(Transaksi!$B60="","Jenis belum diisi. ","")&amp;IF(Transaksi!$E60="","Kategori belum diisi. ","")&amp;IF(Transaksi!$A60&gt;TODAY(),"Tanggal di masa depan. ","")&amp;IF(COUNTIFS(Transaksi!$A$2:$A$501,Transaksi!$A60,Transaksi!$C$2:$C$501,Transaksi!$C60,Transaksi!$D$2:$D$501,Transaksi!$D60)&gt;1,"Kemungkinan duplikat. ","")))</f>
        <v/>
      </c>
    </row>
    <row r="72" ht="18" customHeight="1">
      <c r="B72" s="21">
        <f>IF(Transaksi!$A61="","",61)</f>
        <v/>
      </c>
      <c r="C72" s="20">
        <f>IF(Transaksi!$A61="","",Transaksi!$A61)</f>
        <v/>
      </c>
      <c r="D72" s="22">
        <f>IF(Transaksi!$A61="","",Transaksi!$C61)</f>
        <v/>
      </c>
      <c r="E72" s="21">
        <f>IF(Transaksi!$A61="","",Transaksi!$D61)</f>
        <v/>
      </c>
      <c r="F72" s="21">
        <f>IF(Transaksi!$A61="","",TRIM(IF(Transaksi!$C61="","Nominal kosong. ","")&amp;IF(N(Transaksi!$C61)&lt;0,"Nominal negatif. ","")&amp;IF(Transaksi!$B61="","Jenis belum diisi. ","")&amp;IF(Transaksi!$E61="","Kategori belum diisi. ","")&amp;IF(Transaksi!$A61&gt;TODAY(),"Tanggal di masa depan. ","")&amp;IF(COUNTIFS(Transaksi!$A$2:$A$501,Transaksi!$A61,Transaksi!$C$2:$C$501,Transaksi!$C61,Transaksi!$D$2:$D$501,Transaksi!$D61)&gt;1,"Kemungkinan duplikat. ","")))</f>
        <v/>
      </c>
    </row>
    <row r="73" ht="18" customHeight="1">
      <c r="B73" s="21">
        <f>IF(Transaksi!$A62="","",62)</f>
        <v/>
      </c>
      <c r="C73" s="20">
        <f>IF(Transaksi!$A62="","",Transaksi!$A62)</f>
        <v/>
      </c>
      <c r="D73" s="22">
        <f>IF(Transaksi!$A62="","",Transaksi!$C62)</f>
        <v/>
      </c>
      <c r="E73" s="21">
        <f>IF(Transaksi!$A62="","",Transaksi!$D62)</f>
        <v/>
      </c>
      <c r="F73" s="21">
        <f>IF(Transaksi!$A62="","",TRIM(IF(Transaksi!$C62="","Nominal kosong. ","")&amp;IF(N(Transaksi!$C62)&lt;0,"Nominal negatif. ","")&amp;IF(Transaksi!$B62="","Jenis belum diisi. ","")&amp;IF(Transaksi!$E62="","Kategori belum diisi. ","")&amp;IF(Transaksi!$A62&gt;TODAY(),"Tanggal di masa depan. ","")&amp;IF(COUNTIFS(Transaksi!$A$2:$A$501,Transaksi!$A62,Transaksi!$C$2:$C$501,Transaksi!$C62,Transaksi!$D$2:$D$501,Transaksi!$D62)&gt;1,"Kemungkinan duplikat. ","")))</f>
        <v/>
      </c>
    </row>
    <row r="74" ht="18" customHeight="1">
      <c r="B74" s="21">
        <f>IF(Transaksi!$A63="","",63)</f>
        <v/>
      </c>
      <c r="C74" s="20">
        <f>IF(Transaksi!$A63="","",Transaksi!$A63)</f>
        <v/>
      </c>
      <c r="D74" s="22">
        <f>IF(Transaksi!$A63="","",Transaksi!$C63)</f>
        <v/>
      </c>
      <c r="E74" s="21">
        <f>IF(Transaksi!$A63="","",Transaksi!$D63)</f>
        <v/>
      </c>
      <c r="F74" s="21">
        <f>IF(Transaksi!$A63="","",TRIM(IF(Transaksi!$C63="","Nominal kosong. ","")&amp;IF(N(Transaksi!$C63)&lt;0,"Nominal negatif. ","")&amp;IF(Transaksi!$B63="","Jenis belum diisi. ","")&amp;IF(Transaksi!$E63="","Kategori belum diisi. ","")&amp;IF(Transaksi!$A63&gt;TODAY(),"Tanggal di masa depan. ","")&amp;IF(COUNTIFS(Transaksi!$A$2:$A$501,Transaksi!$A63,Transaksi!$C$2:$C$501,Transaksi!$C63,Transaksi!$D$2:$D$501,Transaksi!$D63)&gt;1,"Kemungkinan duplikat. ","")))</f>
        <v/>
      </c>
    </row>
    <row r="75" ht="18" customHeight="1">
      <c r="B75" s="21">
        <f>IF(Transaksi!$A64="","",64)</f>
        <v/>
      </c>
      <c r="C75" s="20">
        <f>IF(Transaksi!$A64="","",Transaksi!$A64)</f>
        <v/>
      </c>
      <c r="D75" s="22">
        <f>IF(Transaksi!$A64="","",Transaksi!$C64)</f>
        <v/>
      </c>
      <c r="E75" s="21">
        <f>IF(Transaksi!$A64="","",Transaksi!$D64)</f>
        <v/>
      </c>
      <c r="F75" s="21">
        <f>IF(Transaksi!$A64="","",TRIM(IF(Transaksi!$C64="","Nominal kosong. ","")&amp;IF(N(Transaksi!$C64)&lt;0,"Nominal negatif. ","")&amp;IF(Transaksi!$B64="","Jenis belum diisi. ","")&amp;IF(Transaksi!$E64="","Kategori belum diisi. ","")&amp;IF(Transaksi!$A64&gt;TODAY(),"Tanggal di masa depan. ","")&amp;IF(COUNTIFS(Transaksi!$A$2:$A$501,Transaksi!$A64,Transaksi!$C$2:$C$501,Transaksi!$C64,Transaksi!$D$2:$D$501,Transaksi!$D64)&gt;1,"Kemungkinan duplikat. ","")))</f>
        <v/>
      </c>
    </row>
    <row r="76" ht="18" customHeight="1">
      <c r="B76" s="21">
        <f>IF(Transaksi!$A65="","",65)</f>
        <v/>
      </c>
      <c r="C76" s="20">
        <f>IF(Transaksi!$A65="","",Transaksi!$A65)</f>
        <v/>
      </c>
      <c r="D76" s="22">
        <f>IF(Transaksi!$A65="","",Transaksi!$C65)</f>
        <v/>
      </c>
      <c r="E76" s="21">
        <f>IF(Transaksi!$A65="","",Transaksi!$D65)</f>
        <v/>
      </c>
      <c r="F76" s="21">
        <f>IF(Transaksi!$A65="","",TRIM(IF(Transaksi!$C65="","Nominal kosong. ","")&amp;IF(N(Transaksi!$C65)&lt;0,"Nominal negatif. ","")&amp;IF(Transaksi!$B65="","Jenis belum diisi. ","")&amp;IF(Transaksi!$E65="","Kategori belum diisi. ","")&amp;IF(Transaksi!$A65&gt;TODAY(),"Tanggal di masa depan. ","")&amp;IF(COUNTIFS(Transaksi!$A$2:$A$501,Transaksi!$A65,Transaksi!$C$2:$C$501,Transaksi!$C65,Transaksi!$D$2:$D$501,Transaksi!$D65)&gt;1,"Kemungkinan duplikat. ","")))</f>
        <v/>
      </c>
    </row>
    <row r="77" ht="18" customHeight="1">
      <c r="B77" s="21">
        <f>IF(Transaksi!$A66="","",66)</f>
        <v/>
      </c>
      <c r="C77" s="20">
        <f>IF(Transaksi!$A66="","",Transaksi!$A66)</f>
        <v/>
      </c>
      <c r="D77" s="22">
        <f>IF(Transaksi!$A66="","",Transaksi!$C66)</f>
        <v/>
      </c>
      <c r="E77" s="21">
        <f>IF(Transaksi!$A66="","",Transaksi!$D66)</f>
        <v/>
      </c>
      <c r="F77" s="21">
        <f>IF(Transaksi!$A66="","",TRIM(IF(Transaksi!$C66="","Nominal kosong. ","")&amp;IF(N(Transaksi!$C66)&lt;0,"Nominal negatif. ","")&amp;IF(Transaksi!$B66="","Jenis belum diisi. ","")&amp;IF(Transaksi!$E66="","Kategori belum diisi. ","")&amp;IF(Transaksi!$A66&gt;TODAY(),"Tanggal di masa depan. ","")&amp;IF(COUNTIFS(Transaksi!$A$2:$A$501,Transaksi!$A66,Transaksi!$C$2:$C$501,Transaksi!$C66,Transaksi!$D$2:$D$501,Transaksi!$D66)&gt;1,"Kemungkinan duplikat. ","")))</f>
        <v/>
      </c>
    </row>
    <row r="78" ht="18" customHeight="1">
      <c r="B78" s="21">
        <f>IF(Transaksi!$A67="","",67)</f>
        <v/>
      </c>
      <c r="C78" s="20">
        <f>IF(Transaksi!$A67="","",Transaksi!$A67)</f>
        <v/>
      </c>
      <c r="D78" s="22">
        <f>IF(Transaksi!$A67="","",Transaksi!$C67)</f>
        <v/>
      </c>
      <c r="E78" s="21">
        <f>IF(Transaksi!$A67="","",Transaksi!$D67)</f>
        <v/>
      </c>
      <c r="F78" s="21">
        <f>IF(Transaksi!$A67="","",TRIM(IF(Transaksi!$C67="","Nominal kosong. ","")&amp;IF(N(Transaksi!$C67)&lt;0,"Nominal negatif. ","")&amp;IF(Transaksi!$B67="","Jenis belum diisi. ","")&amp;IF(Transaksi!$E67="","Kategori belum diisi. ","")&amp;IF(Transaksi!$A67&gt;TODAY(),"Tanggal di masa depan. ","")&amp;IF(COUNTIFS(Transaksi!$A$2:$A$501,Transaksi!$A67,Transaksi!$C$2:$C$501,Transaksi!$C67,Transaksi!$D$2:$D$501,Transaksi!$D67)&gt;1,"Kemungkinan duplikat. ","")))</f>
        <v/>
      </c>
    </row>
    <row r="79" ht="18" customHeight="1">
      <c r="B79" s="21">
        <f>IF(Transaksi!$A68="","",68)</f>
        <v/>
      </c>
      <c r="C79" s="20">
        <f>IF(Transaksi!$A68="","",Transaksi!$A68)</f>
        <v/>
      </c>
      <c r="D79" s="22">
        <f>IF(Transaksi!$A68="","",Transaksi!$C68)</f>
        <v/>
      </c>
      <c r="E79" s="21">
        <f>IF(Transaksi!$A68="","",Transaksi!$D68)</f>
        <v/>
      </c>
      <c r="F79" s="21">
        <f>IF(Transaksi!$A68="","",TRIM(IF(Transaksi!$C68="","Nominal kosong. ","")&amp;IF(N(Transaksi!$C68)&lt;0,"Nominal negatif. ","")&amp;IF(Transaksi!$B68="","Jenis belum diisi. ","")&amp;IF(Transaksi!$E68="","Kategori belum diisi. ","")&amp;IF(Transaksi!$A68&gt;TODAY(),"Tanggal di masa depan. ","")&amp;IF(COUNTIFS(Transaksi!$A$2:$A$501,Transaksi!$A68,Transaksi!$C$2:$C$501,Transaksi!$C68,Transaksi!$D$2:$D$501,Transaksi!$D68)&gt;1,"Kemungkinan duplikat. ","")))</f>
        <v/>
      </c>
    </row>
    <row r="80" ht="18" customHeight="1">
      <c r="B80" s="21">
        <f>IF(Transaksi!$A69="","",69)</f>
        <v/>
      </c>
      <c r="C80" s="20">
        <f>IF(Transaksi!$A69="","",Transaksi!$A69)</f>
        <v/>
      </c>
      <c r="D80" s="22">
        <f>IF(Transaksi!$A69="","",Transaksi!$C69)</f>
        <v/>
      </c>
      <c r="E80" s="21">
        <f>IF(Transaksi!$A69="","",Transaksi!$D69)</f>
        <v/>
      </c>
      <c r="F80" s="21">
        <f>IF(Transaksi!$A69="","",TRIM(IF(Transaksi!$C69="","Nominal kosong. ","")&amp;IF(N(Transaksi!$C69)&lt;0,"Nominal negatif. ","")&amp;IF(Transaksi!$B69="","Jenis belum diisi. ","")&amp;IF(Transaksi!$E69="","Kategori belum diisi. ","")&amp;IF(Transaksi!$A69&gt;TODAY(),"Tanggal di masa depan. ","")&amp;IF(COUNTIFS(Transaksi!$A$2:$A$501,Transaksi!$A69,Transaksi!$C$2:$C$501,Transaksi!$C69,Transaksi!$D$2:$D$501,Transaksi!$D69)&gt;1,"Kemungkinan duplikat. ","")))</f>
        <v/>
      </c>
    </row>
    <row r="81" ht="18" customHeight="1">
      <c r="B81" s="21">
        <f>IF(Transaksi!$A70="","",70)</f>
        <v/>
      </c>
      <c r="C81" s="20">
        <f>IF(Transaksi!$A70="","",Transaksi!$A70)</f>
        <v/>
      </c>
      <c r="D81" s="22">
        <f>IF(Transaksi!$A70="","",Transaksi!$C70)</f>
        <v/>
      </c>
      <c r="E81" s="21">
        <f>IF(Transaksi!$A70="","",Transaksi!$D70)</f>
        <v/>
      </c>
      <c r="F81" s="21">
        <f>IF(Transaksi!$A70="","",TRIM(IF(Transaksi!$C70="","Nominal kosong. ","")&amp;IF(N(Transaksi!$C70)&lt;0,"Nominal negatif. ","")&amp;IF(Transaksi!$B70="","Jenis belum diisi. ","")&amp;IF(Transaksi!$E70="","Kategori belum diisi. ","")&amp;IF(Transaksi!$A70&gt;TODAY(),"Tanggal di masa depan. ","")&amp;IF(COUNTIFS(Transaksi!$A$2:$A$501,Transaksi!$A70,Transaksi!$C$2:$C$501,Transaksi!$C70,Transaksi!$D$2:$D$501,Transaksi!$D70)&gt;1,"Kemungkinan duplikat. ","")))</f>
        <v/>
      </c>
    </row>
    <row r="82" ht="18" customHeight="1">
      <c r="B82" s="21">
        <f>IF(Transaksi!$A71="","",71)</f>
        <v/>
      </c>
      <c r="C82" s="20">
        <f>IF(Transaksi!$A71="","",Transaksi!$A71)</f>
        <v/>
      </c>
      <c r="D82" s="22">
        <f>IF(Transaksi!$A71="","",Transaksi!$C71)</f>
        <v/>
      </c>
      <c r="E82" s="21">
        <f>IF(Transaksi!$A71="","",Transaksi!$D71)</f>
        <v/>
      </c>
      <c r="F82" s="21">
        <f>IF(Transaksi!$A71="","",TRIM(IF(Transaksi!$C71="","Nominal kosong. ","")&amp;IF(N(Transaksi!$C71)&lt;0,"Nominal negatif. ","")&amp;IF(Transaksi!$B71="","Jenis belum diisi. ","")&amp;IF(Transaksi!$E71="","Kategori belum diisi. ","")&amp;IF(Transaksi!$A71&gt;TODAY(),"Tanggal di masa depan. ","")&amp;IF(COUNTIFS(Transaksi!$A$2:$A$501,Transaksi!$A71,Transaksi!$C$2:$C$501,Transaksi!$C71,Transaksi!$D$2:$D$501,Transaksi!$D71)&gt;1,"Kemungkinan duplikat. ","")))</f>
        <v/>
      </c>
    </row>
    <row r="83" ht="18" customHeight="1">
      <c r="B83" s="21">
        <f>IF(Transaksi!$A72="","",72)</f>
        <v/>
      </c>
      <c r="C83" s="20">
        <f>IF(Transaksi!$A72="","",Transaksi!$A72)</f>
        <v/>
      </c>
      <c r="D83" s="22">
        <f>IF(Transaksi!$A72="","",Transaksi!$C72)</f>
        <v/>
      </c>
      <c r="E83" s="21">
        <f>IF(Transaksi!$A72="","",Transaksi!$D72)</f>
        <v/>
      </c>
      <c r="F83" s="21">
        <f>IF(Transaksi!$A72="","",TRIM(IF(Transaksi!$C72="","Nominal kosong. ","")&amp;IF(N(Transaksi!$C72)&lt;0,"Nominal negatif. ","")&amp;IF(Transaksi!$B72="","Jenis belum diisi. ","")&amp;IF(Transaksi!$E72="","Kategori belum diisi. ","")&amp;IF(Transaksi!$A72&gt;TODAY(),"Tanggal di masa depan. ","")&amp;IF(COUNTIFS(Transaksi!$A$2:$A$501,Transaksi!$A72,Transaksi!$C$2:$C$501,Transaksi!$C72,Transaksi!$D$2:$D$501,Transaksi!$D72)&gt;1,"Kemungkinan duplikat. ","")))</f>
        <v/>
      </c>
    </row>
    <row r="84" ht="18" customHeight="1">
      <c r="B84" s="21">
        <f>IF(Transaksi!$A73="","",73)</f>
        <v/>
      </c>
      <c r="C84" s="20">
        <f>IF(Transaksi!$A73="","",Transaksi!$A73)</f>
        <v/>
      </c>
      <c r="D84" s="22">
        <f>IF(Transaksi!$A73="","",Transaksi!$C73)</f>
        <v/>
      </c>
      <c r="E84" s="21">
        <f>IF(Transaksi!$A73="","",Transaksi!$D73)</f>
        <v/>
      </c>
      <c r="F84" s="21">
        <f>IF(Transaksi!$A73="","",TRIM(IF(Transaksi!$C73="","Nominal kosong. ","")&amp;IF(N(Transaksi!$C73)&lt;0,"Nominal negatif. ","")&amp;IF(Transaksi!$B73="","Jenis belum diisi. ","")&amp;IF(Transaksi!$E73="","Kategori belum diisi. ","")&amp;IF(Transaksi!$A73&gt;TODAY(),"Tanggal di masa depan. ","")&amp;IF(COUNTIFS(Transaksi!$A$2:$A$501,Transaksi!$A73,Transaksi!$C$2:$C$501,Transaksi!$C73,Transaksi!$D$2:$D$501,Transaksi!$D73)&gt;1,"Kemungkinan duplikat. ","")))</f>
        <v/>
      </c>
    </row>
    <row r="85" ht="18" customHeight="1">
      <c r="B85" s="21">
        <f>IF(Transaksi!$A74="","",74)</f>
        <v/>
      </c>
      <c r="C85" s="20">
        <f>IF(Transaksi!$A74="","",Transaksi!$A74)</f>
        <v/>
      </c>
      <c r="D85" s="22">
        <f>IF(Transaksi!$A74="","",Transaksi!$C74)</f>
        <v/>
      </c>
      <c r="E85" s="21">
        <f>IF(Transaksi!$A74="","",Transaksi!$D74)</f>
        <v/>
      </c>
      <c r="F85" s="21">
        <f>IF(Transaksi!$A74="","",TRIM(IF(Transaksi!$C74="","Nominal kosong. ","")&amp;IF(N(Transaksi!$C74)&lt;0,"Nominal negatif. ","")&amp;IF(Transaksi!$B74="","Jenis belum diisi. ","")&amp;IF(Transaksi!$E74="","Kategori belum diisi. ","")&amp;IF(Transaksi!$A74&gt;TODAY(),"Tanggal di masa depan. ","")&amp;IF(COUNTIFS(Transaksi!$A$2:$A$501,Transaksi!$A74,Transaksi!$C$2:$C$501,Transaksi!$C74,Transaksi!$D$2:$D$501,Transaksi!$D74)&gt;1,"Kemungkinan duplikat. ","")))</f>
        <v/>
      </c>
    </row>
    <row r="86" ht="18" customHeight="1">
      <c r="B86" s="21">
        <f>IF(Transaksi!$A75="","",75)</f>
        <v/>
      </c>
      <c r="C86" s="20">
        <f>IF(Transaksi!$A75="","",Transaksi!$A75)</f>
        <v/>
      </c>
      <c r="D86" s="22">
        <f>IF(Transaksi!$A75="","",Transaksi!$C75)</f>
        <v/>
      </c>
      <c r="E86" s="21">
        <f>IF(Transaksi!$A75="","",Transaksi!$D75)</f>
        <v/>
      </c>
      <c r="F86" s="21">
        <f>IF(Transaksi!$A75="","",TRIM(IF(Transaksi!$C75="","Nominal kosong. ","")&amp;IF(N(Transaksi!$C75)&lt;0,"Nominal negatif. ","")&amp;IF(Transaksi!$B75="","Jenis belum diisi. ","")&amp;IF(Transaksi!$E75="","Kategori belum diisi. ","")&amp;IF(Transaksi!$A75&gt;TODAY(),"Tanggal di masa depan. ","")&amp;IF(COUNTIFS(Transaksi!$A$2:$A$501,Transaksi!$A75,Transaksi!$C$2:$C$501,Transaksi!$C75,Transaksi!$D$2:$D$501,Transaksi!$D75)&gt;1,"Kemungkinan duplikat. ","")))</f>
        <v/>
      </c>
    </row>
    <row r="87" ht="18" customHeight="1">
      <c r="B87" s="21">
        <f>IF(Transaksi!$A76="","",76)</f>
        <v/>
      </c>
      <c r="C87" s="20">
        <f>IF(Transaksi!$A76="","",Transaksi!$A76)</f>
        <v/>
      </c>
      <c r="D87" s="22">
        <f>IF(Transaksi!$A76="","",Transaksi!$C76)</f>
        <v/>
      </c>
      <c r="E87" s="21">
        <f>IF(Transaksi!$A76="","",Transaksi!$D76)</f>
        <v/>
      </c>
      <c r="F87" s="21">
        <f>IF(Transaksi!$A76="","",TRIM(IF(Transaksi!$C76="","Nominal kosong. ","")&amp;IF(N(Transaksi!$C76)&lt;0,"Nominal negatif. ","")&amp;IF(Transaksi!$B76="","Jenis belum diisi. ","")&amp;IF(Transaksi!$E76="","Kategori belum diisi. ","")&amp;IF(Transaksi!$A76&gt;TODAY(),"Tanggal di masa depan. ","")&amp;IF(COUNTIFS(Transaksi!$A$2:$A$501,Transaksi!$A76,Transaksi!$C$2:$C$501,Transaksi!$C76,Transaksi!$D$2:$D$501,Transaksi!$D76)&gt;1,"Kemungkinan duplikat. ","")))</f>
        <v/>
      </c>
    </row>
    <row r="88" ht="18" customHeight="1">
      <c r="B88" s="21">
        <f>IF(Transaksi!$A77="","",77)</f>
        <v/>
      </c>
      <c r="C88" s="20">
        <f>IF(Transaksi!$A77="","",Transaksi!$A77)</f>
        <v/>
      </c>
      <c r="D88" s="22">
        <f>IF(Transaksi!$A77="","",Transaksi!$C77)</f>
        <v/>
      </c>
      <c r="E88" s="21">
        <f>IF(Transaksi!$A77="","",Transaksi!$D77)</f>
        <v/>
      </c>
      <c r="F88" s="21">
        <f>IF(Transaksi!$A77="","",TRIM(IF(Transaksi!$C77="","Nominal kosong. ","")&amp;IF(N(Transaksi!$C77)&lt;0,"Nominal negatif. ","")&amp;IF(Transaksi!$B77="","Jenis belum diisi. ","")&amp;IF(Transaksi!$E77="","Kategori belum diisi. ","")&amp;IF(Transaksi!$A77&gt;TODAY(),"Tanggal di masa depan. ","")&amp;IF(COUNTIFS(Transaksi!$A$2:$A$501,Transaksi!$A77,Transaksi!$C$2:$C$501,Transaksi!$C77,Transaksi!$D$2:$D$501,Transaksi!$D77)&gt;1,"Kemungkinan duplikat. ","")))</f>
        <v/>
      </c>
    </row>
    <row r="89" ht="18" customHeight="1">
      <c r="B89" s="21">
        <f>IF(Transaksi!$A78="","",78)</f>
        <v/>
      </c>
      <c r="C89" s="20">
        <f>IF(Transaksi!$A78="","",Transaksi!$A78)</f>
        <v/>
      </c>
      <c r="D89" s="22">
        <f>IF(Transaksi!$A78="","",Transaksi!$C78)</f>
        <v/>
      </c>
      <c r="E89" s="21">
        <f>IF(Transaksi!$A78="","",Transaksi!$D78)</f>
        <v/>
      </c>
      <c r="F89" s="21">
        <f>IF(Transaksi!$A78="","",TRIM(IF(Transaksi!$C78="","Nominal kosong. ","")&amp;IF(N(Transaksi!$C78)&lt;0,"Nominal negatif. ","")&amp;IF(Transaksi!$B78="","Jenis belum diisi. ","")&amp;IF(Transaksi!$E78="","Kategori belum diisi. ","")&amp;IF(Transaksi!$A78&gt;TODAY(),"Tanggal di masa depan. ","")&amp;IF(COUNTIFS(Transaksi!$A$2:$A$501,Transaksi!$A78,Transaksi!$C$2:$C$501,Transaksi!$C78,Transaksi!$D$2:$D$501,Transaksi!$D78)&gt;1,"Kemungkinan duplikat. ","")))</f>
        <v/>
      </c>
    </row>
    <row r="90" ht="18" customHeight="1">
      <c r="B90" s="21">
        <f>IF(Transaksi!$A79="","",79)</f>
        <v/>
      </c>
      <c r="C90" s="20">
        <f>IF(Transaksi!$A79="","",Transaksi!$A79)</f>
        <v/>
      </c>
      <c r="D90" s="22">
        <f>IF(Transaksi!$A79="","",Transaksi!$C79)</f>
        <v/>
      </c>
      <c r="E90" s="21">
        <f>IF(Transaksi!$A79="","",Transaksi!$D79)</f>
        <v/>
      </c>
      <c r="F90" s="21">
        <f>IF(Transaksi!$A79="","",TRIM(IF(Transaksi!$C79="","Nominal kosong. ","")&amp;IF(N(Transaksi!$C79)&lt;0,"Nominal negatif. ","")&amp;IF(Transaksi!$B79="","Jenis belum diisi. ","")&amp;IF(Transaksi!$E79="","Kategori belum diisi. ","")&amp;IF(Transaksi!$A79&gt;TODAY(),"Tanggal di masa depan. ","")&amp;IF(COUNTIFS(Transaksi!$A$2:$A$501,Transaksi!$A79,Transaksi!$C$2:$C$501,Transaksi!$C79,Transaksi!$D$2:$D$501,Transaksi!$D79)&gt;1,"Kemungkinan duplikat. ","")))</f>
        <v/>
      </c>
    </row>
    <row r="91" ht="18" customHeight="1">
      <c r="B91" s="21">
        <f>IF(Transaksi!$A80="","",80)</f>
        <v/>
      </c>
      <c r="C91" s="20">
        <f>IF(Transaksi!$A80="","",Transaksi!$A80)</f>
        <v/>
      </c>
      <c r="D91" s="22">
        <f>IF(Transaksi!$A80="","",Transaksi!$C80)</f>
        <v/>
      </c>
      <c r="E91" s="21">
        <f>IF(Transaksi!$A80="","",Transaksi!$D80)</f>
        <v/>
      </c>
      <c r="F91" s="21">
        <f>IF(Transaksi!$A80="","",TRIM(IF(Transaksi!$C80="","Nominal kosong. ","")&amp;IF(N(Transaksi!$C80)&lt;0,"Nominal negatif. ","")&amp;IF(Transaksi!$B80="","Jenis belum diisi. ","")&amp;IF(Transaksi!$E80="","Kategori belum diisi. ","")&amp;IF(Transaksi!$A80&gt;TODAY(),"Tanggal di masa depan. ","")&amp;IF(COUNTIFS(Transaksi!$A$2:$A$501,Transaksi!$A80,Transaksi!$C$2:$C$501,Transaksi!$C80,Transaksi!$D$2:$D$501,Transaksi!$D80)&gt;1,"Kemungkinan duplikat. ","")))</f>
        <v/>
      </c>
    </row>
    <row r="92" ht="18" customHeight="1">
      <c r="B92" s="21">
        <f>IF(Transaksi!$A81="","",81)</f>
        <v/>
      </c>
      <c r="C92" s="20">
        <f>IF(Transaksi!$A81="","",Transaksi!$A81)</f>
        <v/>
      </c>
      <c r="D92" s="22">
        <f>IF(Transaksi!$A81="","",Transaksi!$C81)</f>
        <v/>
      </c>
      <c r="E92" s="21">
        <f>IF(Transaksi!$A81="","",Transaksi!$D81)</f>
        <v/>
      </c>
      <c r="F92" s="21">
        <f>IF(Transaksi!$A81="","",TRIM(IF(Transaksi!$C81="","Nominal kosong. ","")&amp;IF(N(Transaksi!$C81)&lt;0,"Nominal negatif. ","")&amp;IF(Transaksi!$B81="","Jenis belum diisi. ","")&amp;IF(Transaksi!$E81="","Kategori belum diisi. ","")&amp;IF(Transaksi!$A81&gt;TODAY(),"Tanggal di masa depan. ","")&amp;IF(COUNTIFS(Transaksi!$A$2:$A$501,Transaksi!$A81,Transaksi!$C$2:$C$501,Transaksi!$C81,Transaksi!$D$2:$D$501,Transaksi!$D81)&gt;1,"Kemungkinan duplikat. ","")))</f>
        <v/>
      </c>
    </row>
    <row r="93" ht="18" customHeight="1">
      <c r="B93" s="21">
        <f>IF(Transaksi!$A82="","",82)</f>
        <v/>
      </c>
      <c r="C93" s="20">
        <f>IF(Transaksi!$A82="","",Transaksi!$A82)</f>
        <v/>
      </c>
      <c r="D93" s="22">
        <f>IF(Transaksi!$A82="","",Transaksi!$C82)</f>
        <v/>
      </c>
      <c r="E93" s="21">
        <f>IF(Transaksi!$A82="","",Transaksi!$D82)</f>
        <v/>
      </c>
      <c r="F93" s="21">
        <f>IF(Transaksi!$A82="","",TRIM(IF(Transaksi!$C82="","Nominal kosong. ","")&amp;IF(N(Transaksi!$C82)&lt;0,"Nominal negatif. ","")&amp;IF(Transaksi!$B82="","Jenis belum diisi. ","")&amp;IF(Transaksi!$E82="","Kategori belum diisi. ","")&amp;IF(Transaksi!$A82&gt;TODAY(),"Tanggal di masa depan. ","")&amp;IF(COUNTIFS(Transaksi!$A$2:$A$501,Transaksi!$A82,Transaksi!$C$2:$C$501,Transaksi!$C82,Transaksi!$D$2:$D$501,Transaksi!$D82)&gt;1,"Kemungkinan duplikat. ","")))</f>
        <v/>
      </c>
    </row>
    <row r="94" ht="18" customHeight="1">
      <c r="B94" s="21">
        <f>IF(Transaksi!$A83="","",83)</f>
        <v/>
      </c>
      <c r="C94" s="20">
        <f>IF(Transaksi!$A83="","",Transaksi!$A83)</f>
        <v/>
      </c>
      <c r="D94" s="22">
        <f>IF(Transaksi!$A83="","",Transaksi!$C83)</f>
        <v/>
      </c>
      <c r="E94" s="21">
        <f>IF(Transaksi!$A83="","",Transaksi!$D83)</f>
        <v/>
      </c>
      <c r="F94" s="21">
        <f>IF(Transaksi!$A83="","",TRIM(IF(Transaksi!$C83="","Nominal kosong. ","")&amp;IF(N(Transaksi!$C83)&lt;0,"Nominal negatif. ","")&amp;IF(Transaksi!$B83="","Jenis belum diisi. ","")&amp;IF(Transaksi!$E83="","Kategori belum diisi. ","")&amp;IF(Transaksi!$A83&gt;TODAY(),"Tanggal di masa depan. ","")&amp;IF(COUNTIFS(Transaksi!$A$2:$A$501,Transaksi!$A83,Transaksi!$C$2:$C$501,Transaksi!$C83,Transaksi!$D$2:$D$501,Transaksi!$D83)&gt;1,"Kemungkinan duplikat. ","")))</f>
        <v/>
      </c>
    </row>
    <row r="95" ht="18" customHeight="1">
      <c r="B95" s="21">
        <f>IF(Transaksi!$A84="","",84)</f>
        <v/>
      </c>
      <c r="C95" s="20">
        <f>IF(Transaksi!$A84="","",Transaksi!$A84)</f>
        <v/>
      </c>
      <c r="D95" s="22">
        <f>IF(Transaksi!$A84="","",Transaksi!$C84)</f>
        <v/>
      </c>
      <c r="E95" s="21">
        <f>IF(Transaksi!$A84="","",Transaksi!$D84)</f>
        <v/>
      </c>
      <c r="F95" s="21">
        <f>IF(Transaksi!$A84="","",TRIM(IF(Transaksi!$C84="","Nominal kosong. ","")&amp;IF(N(Transaksi!$C84)&lt;0,"Nominal negatif. ","")&amp;IF(Transaksi!$B84="","Jenis belum diisi. ","")&amp;IF(Transaksi!$E84="","Kategori belum diisi. ","")&amp;IF(Transaksi!$A84&gt;TODAY(),"Tanggal di masa depan. ","")&amp;IF(COUNTIFS(Transaksi!$A$2:$A$501,Transaksi!$A84,Transaksi!$C$2:$C$501,Transaksi!$C84,Transaksi!$D$2:$D$501,Transaksi!$D84)&gt;1,"Kemungkinan duplikat. ","")))</f>
        <v/>
      </c>
    </row>
    <row r="96" ht="18" customHeight="1">
      <c r="B96" s="21">
        <f>IF(Transaksi!$A85="","",85)</f>
        <v/>
      </c>
      <c r="C96" s="20">
        <f>IF(Transaksi!$A85="","",Transaksi!$A85)</f>
        <v/>
      </c>
      <c r="D96" s="22">
        <f>IF(Transaksi!$A85="","",Transaksi!$C85)</f>
        <v/>
      </c>
      <c r="E96" s="21">
        <f>IF(Transaksi!$A85="","",Transaksi!$D85)</f>
        <v/>
      </c>
      <c r="F96" s="21">
        <f>IF(Transaksi!$A85="","",TRIM(IF(Transaksi!$C85="","Nominal kosong. ","")&amp;IF(N(Transaksi!$C85)&lt;0,"Nominal negatif. ","")&amp;IF(Transaksi!$B85="","Jenis belum diisi. ","")&amp;IF(Transaksi!$E85="","Kategori belum diisi. ","")&amp;IF(Transaksi!$A85&gt;TODAY(),"Tanggal di masa depan. ","")&amp;IF(COUNTIFS(Transaksi!$A$2:$A$501,Transaksi!$A85,Transaksi!$C$2:$C$501,Transaksi!$C85,Transaksi!$D$2:$D$501,Transaksi!$D85)&gt;1,"Kemungkinan duplikat. ","")))</f>
        <v/>
      </c>
    </row>
    <row r="97" ht="18" customHeight="1">
      <c r="B97" s="21">
        <f>IF(Transaksi!$A86="","",86)</f>
        <v/>
      </c>
      <c r="C97" s="20">
        <f>IF(Transaksi!$A86="","",Transaksi!$A86)</f>
        <v/>
      </c>
      <c r="D97" s="22">
        <f>IF(Transaksi!$A86="","",Transaksi!$C86)</f>
        <v/>
      </c>
      <c r="E97" s="21">
        <f>IF(Transaksi!$A86="","",Transaksi!$D86)</f>
        <v/>
      </c>
      <c r="F97" s="21">
        <f>IF(Transaksi!$A86="","",TRIM(IF(Transaksi!$C86="","Nominal kosong. ","")&amp;IF(N(Transaksi!$C86)&lt;0,"Nominal negatif. ","")&amp;IF(Transaksi!$B86="","Jenis belum diisi. ","")&amp;IF(Transaksi!$E86="","Kategori belum diisi. ","")&amp;IF(Transaksi!$A86&gt;TODAY(),"Tanggal di masa depan. ","")&amp;IF(COUNTIFS(Transaksi!$A$2:$A$501,Transaksi!$A86,Transaksi!$C$2:$C$501,Transaksi!$C86,Transaksi!$D$2:$D$501,Transaksi!$D86)&gt;1,"Kemungkinan duplikat. ","")))</f>
        <v/>
      </c>
    </row>
    <row r="98" ht="18" customHeight="1">
      <c r="B98" s="21">
        <f>IF(Transaksi!$A87="","",87)</f>
        <v/>
      </c>
      <c r="C98" s="20">
        <f>IF(Transaksi!$A87="","",Transaksi!$A87)</f>
        <v/>
      </c>
      <c r="D98" s="22">
        <f>IF(Transaksi!$A87="","",Transaksi!$C87)</f>
        <v/>
      </c>
      <c r="E98" s="21">
        <f>IF(Transaksi!$A87="","",Transaksi!$D87)</f>
        <v/>
      </c>
      <c r="F98" s="21">
        <f>IF(Transaksi!$A87="","",TRIM(IF(Transaksi!$C87="","Nominal kosong. ","")&amp;IF(N(Transaksi!$C87)&lt;0,"Nominal negatif. ","")&amp;IF(Transaksi!$B87="","Jenis belum diisi. ","")&amp;IF(Transaksi!$E87="","Kategori belum diisi. ","")&amp;IF(Transaksi!$A87&gt;TODAY(),"Tanggal di masa depan. ","")&amp;IF(COUNTIFS(Transaksi!$A$2:$A$501,Transaksi!$A87,Transaksi!$C$2:$C$501,Transaksi!$C87,Transaksi!$D$2:$D$501,Transaksi!$D87)&gt;1,"Kemungkinan duplikat. ","")))</f>
        <v/>
      </c>
    </row>
    <row r="99" ht="18" customHeight="1">
      <c r="B99" s="21">
        <f>IF(Transaksi!$A88="","",88)</f>
        <v/>
      </c>
      <c r="C99" s="20">
        <f>IF(Transaksi!$A88="","",Transaksi!$A88)</f>
        <v/>
      </c>
      <c r="D99" s="22">
        <f>IF(Transaksi!$A88="","",Transaksi!$C88)</f>
        <v/>
      </c>
      <c r="E99" s="21">
        <f>IF(Transaksi!$A88="","",Transaksi!$D88)</f>
        <v/>
      </c>
      <c r="F99" s="21">
        <f>IF(Transaksi!$A88="","",TRIM(IF(Transaksi!$C88="","Nominal kosong. ","")&amp;IF(N(Transaksi!$C88)&lt;0,"Nominal negatif. ","")&amp;IF(Transaksi!$B88="","Jenis belum diisi. ","")&amp;IF(Transaksi!$E88="","Kategori belum diisi. ","")&amp;IF(Transaksi!$A88&gt;TODAY(),"Tanggal di masa depan. ","")&amp;IF(COUNTIFS(Transaksi!$A$2:$A$501,Transaksi!$A88,Transaksi!$C$2:$C$501,Transaksi!$C88,Transaksi!$D$2:$D$501,Transaksi!$D88)&gt;1,"Kemungkinan duplikat. ","")))</f>
        <v/>
      </c>
    </row>
    <row r="100" ht="18" customHeight="1">
      <c r="B100" s="21">
        <f>IF(Transaksi!$A89="","",89)</f>
        <v/>
      </c>
      <c r="C100" s="20">
        <f>IF(Transaksi!$A89="","",Transaksi!$A89)</f>
        <v/>
      </c>
      <c r="D100" s="22">
        <f>IF(Transaksi!$A89="","",Transaksi!$C89)</f>
        <v/>
      </c>
      <c r="E100" s="21">
        <f>IF(Transaksi!$A89="","",Transaksi!$D89)</f>
        <v/>
      </c>
      <c r="F100" s="21">
        <f>IF(Transaksi!$A89="","",TRIM(IF(Transaksi!$C89="","Nominal kosong. ","")&amp;IF(N(Transaksi!$C89)&lt;0,"Nominal negatif. ","")&amp;IF(Transaksi!$B89="","Jenis belum diisi. ","")&amp;IF(Transaksi!$E89="","Kategori belum diisi. ","")&amp;IF(Transaksi!$A89&gt;TODAY(),"Tanggal di masa depan. ","")&amp;IF(COUNTIFS(Transaksi!$A$2:$A$501,Transaksi!$A89,Transaksi!$C$2:$C$501,Transaksi!$C89,Transaksi!$D$2:$D$501,Transaksi!$D89)&gt;1,"Kemungkinan duplikat. ","")))</f>
        <v/>
      </c>
    </row>
    <row r="101" ht="18" customHeight="1">
      <c r="B101" s="21">
        <f>IF(Transaksi!$A90="","",90)</f>
        <v/>
      </c>
      <c r="C101" s="20">
        <f>IF(Transaksi!$A90="","",Transaksi!$A90)</f>
        <v/>
      </c>
      <c r="D101" s="22">
        <f>IF(Transaksi!$A90="","",Transaksi!$C90)</f>
        <v/>
      </c>
      <c r="E101" s="21">
        <f>IF(Transaksi!$A90="","",Transaksi!$D90)</f>
        <v/>
      </c>
      <c r="F101" s="21">
        <f>IF(Transaksi!$A90="","",TRIM(IF(Transaksi!$C90="","Nominal kosong. ","")&amp;IF(N(Transaksi!$C90)&lt;0,"Nominal negatif. ","")&amp;IF(Transaksi!$B90="","Jenis belum diisi. ","")&amp;IF(Transaksi!$E90="","Kategori belum diisi. ","")&amp;IF(Transaksi!$A90&gt;TODAY(),"Tanggal di masa depan. ","")&amp;IF(COUNTIFS(Transaksi!$A$2:$A$501,Transaksi!$A90,Transaksi!$C$2:$C$501,Transaksi!$C90,Transaksi!$D$2:$D$501,Transaksi!$D90)&gt;1,"Kemungkinan duplikat. ","")))</f>
        <v/>
      </c>
    </row>
    <row r="102" ht="18" customHeight="1">
      <c r="B102" s="21">
        <f>IF(Transaksi!$A91="","",91)</f>
        <v/>
      </c>
      <c r="C102" s="20">
        <f>IF(Transaksi!$A91="","",Transaksi!$A91)</f>
        <v/>
      </c>
      <c r="D102" s="22">
        <f>IF(Transaksi!$A91="","",Transaksi!$C91)</f>
        <v/>
      </c>
      <c r="E102" s="21">
        <f>IF(Transaksi!$A91="","",Transaksi!$D91)</f>
        <v/>
      </c>
      <c r="F102" s="21">
        <f>IF(Transaksi!$A91="","",TRIM(IF(Transaksi!$C91="","Nominal kosong. ","")&amp;IF(N(Transaksi!$C91)&lt;0,"Nominal negatif. ","")&amp;IF(Transaksi!$B91="","Jenis belum diisi. ","")&amp;IF(Transaksi!$E91="","Kategori belum diisi. ","")&amp;IF(Transaksi!$A91&gt;TODAY(),"Tanggal di masa depan. ","")&amp;IF(COUNTIFS(Transaksi!$A$2:$A$501,Transaksi!$A91,Transaksi!$C$2:$C$501,Transaksi!$C91,Transaksi!$D$2:$D$501,Transaksi!$D91)&gt;1,"Kemungkinan duplikat. ","")))</f>
        <v/>
      </c>
    </row>
    <row r="103" ht="18" customHeight="1">
      <c r="B103" s="21">
        <f>IF(Transaksi!$A92="","",92)</f>
        <v/>
      </c>
      <c r="C103" s="20">
        <f>IF(Transaksi!$A92="","",Transaksi!$A92)</f>
        <v/>
      </c>
      <c r="D103" s="22">
        <f>IF(Transaksi!$A92="","",Transaksi!$C92)</f>
        <v/>
      </c>
      <c r="E103" s="21">
        <f>IF(Transaksi!$A92="","",Transaksi!$D92)</f>
        <v/>
      </c>
      <c r="F103" s="21">
        <f>IF(Transaksi!$A92="","",TRIM(IF(Transaksi!$C92="","Nominal kosong. ","")&amp;IF(N(Transaksi!$C92)&lt;0,"Nominal negatif. ","")&amp;IF(Transaksi!$B92="","Jenis belum diisi. ","")&amp;IF(Transaksi!$E92="","Kategori belum diisi. ","")&amp;IF(Transaksi!$A92&gt;TODAY(),"Tanggal di masa depan. ","")&amp;IF(COUNTIFS(Transaksi!$A$2:$A$501,Transaksi!$A92,Transaksi!$C$2:$C$501,Transaksi!$C92,Transaksi!$D$2:$D$501,Transaksi!$D92)&gt;1,"Kemungkinan duplikat. ","")))</f>
        <v/>
      </c>
    </row>
    <row r="104" ht="18" customHeight="1">
      <c r="B104" s="21">
        <f>IF(Transaksi!$A93="","",93)</f>
        <v/>
      </c>
      <c r="C104" s="20">
        <f>IF(Transaksi!$A93="","",Transaksi!$A93)</f>
        <v/>
      </c>
      <c r="D104" s="22">
        <f>IF(Transaksi!$A93="","",Transaksi!$C93)</f>
        <v/>
      </c>
      <c r="E104" s="21">
        <f>IF(Transaksi!$A93="","",Transaksi!$D93)</f>
        <v/>
      </c>
      <c r="F104" s="21">
        <f>IF(Transaksi!$A93="","",TRIM(IF(Transaksi!$C93="","Nominal kosong. ","")&amp;IF(N(Transaksi!$C93)&lt;0,"Nominal negatif. ","")&amp;IF(Transaksi!$B93="","Jenis belum diisi. ","")&amp;IF(Transaksi!$E93="","Kategori belum diisi. ","")&amp;IF(Transaksi!$A93&gt;TODAY(),"Tanggal di masa depan. ","")&amp;IF(COUNTIFS(Transaksi!$A$2:$A$501,Transaksi!$A93,Transaksi!$C$2:$C$501,Transaksi!$C93,Transaksi!$D$2:$D$501,Transaksi!$D93)&gt;1,"Kemungkinan duplikat. ","")))</f>
        <v/>
      </c>
    </row>
    <row r="105" ht="18" customHeight="1">
      <c r="B105" s="21">
        <f>IF(Transaksi!$A94="","",94)</f>
        <v/>
      </c>
      <c r="C105" s="20">
        <f>IF(Transaksi!$A94="","",Transaksi!$A94)</f>
        <v/>
      </c>
      <c r="D105" s="22">
        <f>IF(Transaksi!$A94="","",Transaksi!$C94)</f>
        <v/>
      </c>
      <c r="E105" s="21">
        <f>IF(Transaksi!$A94="","",Transaksi!$D94)</f>
        <v/>
      </c>
      <c r="F105" s="21">
        <f>IF(Transaksi!$A94="","",TRIM(IF(Transaksi!$C94="","Nominal kosong. ","")&amp;IF(N(Transaksi!$C94)&lt;0,"Nominal negatif. ","")&amp;IF(Transaksi!$B94="","Jenis belum diisi. ","")&amp;IF(Transaksi!$E94="","Kategori belum diisi. ","")&amp;IF(Transaksi!$A94&gt;TODAY(),"Tanggal di masa depan. ","")&amp;IF(COUNTIFS(Transaksi!$A$2:$A$501,Transaksi!$A94,Transaksi!$C$2:$C$501,Transaksi!$C94,Transaksi!$D$2:$D$501,Transaksi!$D94)&gt;1,"Kemungkinan duplikat. ","")))</f>
        <v/>
      </c>
    </row>
    <row r="106" ht="18" customHeight="1">
      <c r="B106" s="21">
        <f>IF(Transaksi!$A95="","",95)</f>
        <v/>
      </c>
      <c r="C106" s="20">
        <f>IF(Transaksi!$A95="","",Transaksi!$A95)</f>
        <v/>
      </c>
      <c r="D106" s="22">
        <f>IF(Transaksi!$A95="","",Transaksi!$C95)</f>
        <v/>
      </c>
      <c r="E106" s="21">
        <f>IF(Transaksi!$A95="","",Transaksi!$D95)</f>
        <v/>
      </c>
      <c r="F106" s="21">
        <f>IF(Transaksi!$A95="","",TRIM(IF(Transaksi!$C95="","Nominal kosong. ","")&amp;IF(N(Transaksi!$C95)&lt;0,"Nominal negatif. ","")&amp;IF(Transaksi!$B95="","Jenis belum diisi. ","")&amp;IF(Transaksi!$E95="","Kategori belum diisi. ","")&amp;IF(Transaksi!$A95&gt;TODAY(),"Tanggal di masa depan. ","")&amp;IF(COUNTIFS(Transaksi!$A$2:$A$501,Transaksi!$A95,Transaksi!$C$2:$C$501,Transaksi!$C95,Transaksi!$D$2:$D$501,Transaksi!$D95)&gt;1,"Kemungkinan duplikat. ","")))</f>
        <v/>
      </c>
    </row>
    <row r="107" ht="18" customHeight="1">
      <c r="B107" s="21">
        <f>IF(Transaksi!$A96="","",96)</f>
        <v/>
      </c>
      <c r="C107" s="20">
        <f>IF(Transaksi!$A96="","",Transaksi!$A96)</f>
        <v/>
      </c>
      <c r="D107" s="22">
        <f>IF(Transaksi!$A96="","",Transaksi!$C96)</f>
        <v/>
      </c>
      <c r="E107" s="21">
        <f>IF(Transaksi!$A96="","",Transaksi!$D96)</f>
        <v/>
      </c>
      <c r="F107" s="21">
        <f>IF(Transaksi!$A96="","",TRIM(IF(Transaksi!$C96="","Nominal kosong. ","")&amp;IF(N(Transaksi!$C96)&lt;0,"Nominal negatif. ","")&amp;IF(Transaksi!$B96="","Jenis belum diisi. ","")&amp;IF(Transaksi!$E96="","Kategori belum diisi. ","")&amp;IF(Transaksi!$A96&gt;TODAY(),"Tanggal di masa depan. ","")&amp;IF(COUNTIFS(Transaksi!$A$2:$A$501,Transaksi!$A96,Transaksi!$C$2:$C$501,Transaksi!$C96,Transaksi!$D$2:$D$501,Transaksi!$D96)&gt;1,"Kemungkinan duplikat. ","")))</f>
        <v/>
      </c>
    </row>
    <row r="108" ht="18" customHeight="1">
      <c r="B108" s="21">
        <f>IF(Transaksi!$A97="","",97)</f>
        <v/>
      </c>
      <c r="C108" s="20">
        <f>IF(Transaksi!$A97="","",Transaksi!$A97)</f>
        <v/>
      </c>
      <c r="D108" s="22">
        <f>IF(Transaksi!$A97="","",Transaksi!$C97)</f>
        <v/>
      </c>
      <c r="E108" s="21">
        <f>IF(Transaksi!$A97="","",Transaksi!$D97)</f>
        <v/>
      </c>
      <c r="F108" s="21">
        <f>IF(Transaksi!$A97="","",TRIM(IF(Transaksi!$C97="","Nominal kosong. ","")&amp;IF(N(Transaksi!$C97)&lt;0,"Nominal negatif. ","")&amp;IF(Transaksi!$B97="","Jenis belum diisi. ","")&amp;IF(Transaksi!$E97="","Kategori belum diisi. ","")&amp;IF(Transaksi!$A97&gt;TODAY(),"Tanggal di masa depan. ","")&amp;IF(COUNTIFS(Transaksi!$A$2:$A$501,Transaksi!$A97,Transaksi!$C$2:$C$501,Transaksi!$C97,Transaksi!$D$2:$D$501,Transaksi!$D97)&gt;1,"Kemungkinan duplikat. ","")))</f>
        <v/>
      </c>
    </row>
    <row r="109" ht="18" customHeight="1">
      <c r="B109" s="21">
        <f>IF(Transaksi!$A98="","",98)</f>
        <v/>
      </c>
      <c r="C109" s="20">
        <f>IF(Transaksi!$A98="","",Transaksi!$A98)</f>
        <v/>
      </c>
      <c r="D109" s="22">
        <f>IF(Transaksi!$A98="","",Transaksi!$C98)</f>
        <v/>
      </c>
      <c r="E109" s="21">
        <f>IF(Transaksi!$A98="","",Transaksi!$D98)</f>
        <v/>
      </c>
      <c r="F109" s="21">
        <f>IF(Transaksi!$A98="","",TRIM(IF(Transaksi!$C98="","Nominal kosong. ","")&amp;IF(N(Transaksi!$C98)&lt;0,"Nominal negatif. ","")&amp;IF(Transaksi!$B98="","Jenis belum diisi. ","")&amp;IF(Transaksi!$E98="","Kategori belum diisi. ","")&amp;IF(Transaksi!$A98&gt;TODAY(),"Tanggal di masa depan. ","")&amp;IF(COUNTIFS(Transaksi!$A$2:$A$501,Transaksi!$A98,Transaksi!$C$2:$C$501,Transaksi!$C98,Transaksi!$D$2:$D$501,Transaksi!$D98)&gt;1,"Kemungkinan duplikat. ","")))</f>
        <v/>
      </c>
    </row>
    <row r="110" ht="18" customHeight="1">
      <c r="B110" s="21">
        <f>IF(Transaksi!$A99="","",99)</f>
        <v/>
      </c>
      <c r="C110" s="20">
        <f>IF(Transaksi!$A99="","",Transaksi!$A99)</f>
        <v/>
      </c>
      <c r="D110" s="22">
        <f>IF(Transaksi!$A99="","",Transaksi!$C99)</f>
        <v/>
      </c>
      <c r="E110" s="21">
        <f>IF(Transaksi!$A99="","",Transaksi!$D99)</f>
        <v/>
      </c>
      <c r="F110" s="21">
        <f>IF(Transaksi!$A99="","",TRIM(IF(Transaksi!$C99="","Nominal kosong. ","")&amp;IF(N(Transaksi!$C99)&lt;0,"Nominal negatif. ","")&amp;IF(Transaksi!$B99="","Jenis belum diisi. ","")&amp;IF(Transaksi!$E99="","Kategori belum diisi. ","")&amp;IF(Transaksi!$A99&gt;TODAY(),"Tanggal di masa depan. ","")&amp;IF(COUNTIFS(Transaksi!$A$2:$A$501,Transaksi!$A99,Transaksi!$C$2:$C$501,Transaksi!$C99,Transaksi!$D$2:$D$501,Transaksi!$D99)&gt;1,"Kemungkinan duplikat. ","")))</f>
        <v/>
      </c>
    </row>
    <row r="111" ht="18" customHeight="1">
      <c r="B111" s="21">
        <f>IF(Transaksi!$A100="","",100)</f>
        <v/>
      </c>
      <c r="C111" s="20">
        <f>IF(Transaksi!$A100="","",Transaksi!$A100)</f>
        <v/>
      </c>
      <c r="D111" s="22">
        <f>IF(Transaksi!$A100="","",Transaksi!$C100)</f>
        <v/>
      </c>
      <c r="E111" s="21">
        <f>IF(Transaksi!$A100="","",Transaksi!$D100)</f>
        <v/>
      </c>
      <c r="F111" s="21">
        <f>IF(Transaksi!$A100="","",TRIM(IF(Transaksi!$C100="","Nominal kosong. ","")&amp;IF(N(Transaksi!$C100)&lt;0,"Nominal negatif. ","")&amp;IF(Transaksi!$B100="","Jenis belum diisi. ","")&amp;IF(Transaksi!$E100="","Kategori belum diisi. ","")&amp;IF(Transaksi!$A100&gt;TODAY(),"Tanggal di masa depan. ","")&amp;IF(COUNTIFS(Transaksi!$A$2:$A$501,Transaksi!$A100,Transaksi!$C$2:$C$501,Transaksi!$C100,Transaksi!$D$2:$D$501,Transaksi!$D100)&gt;1,"Kemungkinan duplikat. ","")))</f>
        <v/>
      </c>
    </row>
    <row r="112" ht="18" customHeight="1">
      <c r="B112" s="21">
        <f>IF(Transaksi!$A101="","",101)</f>
        <v/>
      </c>
      <c r="C112" s="20">
        <f>IF(Transaksi!$A101="","",Transaksi!$A101)</f>
        <v/>
      </c>
      <c r="D112" s="22">
        <f>IF(Transaksi!$A101="","",Transaksi!$C101)</f>
        <v/>
      </c>
      <c r="E112" s="21">
        <f>IF(Transaksi!$A101="","",Transaksi!$D101)</f>
        <v/>
      </c>
      <c r="F112" s="21">
        <f>IF(Transaksi!$A101="","",TRIM(IF(Transaksi!$C101="","Nominal kosong. ","")&amp;IF(N(Transaksi!$C101)&lt;0,"Nominal negatif. ","")&amp;IF(Transaksi!$B101="","Jenis belum diisi. ","")&amp;IF(Transaksi!$E101="","Kategori belum diisi. ","")&amp;IF(Transaksi!$A101&gt;TODAY(),"Tanggal di masa depan. ","")&amp;IF(COUNTIFS(Transaksi!$A$2:$A$501,Transaksi!$A101,Transaksi!$C$2:$C$501,Transaksi!$C101,Transaksi!$D$2:$D$501,Transaksi!$D101)&gt;1,"Kemungkinan duplikat. ","")))</f>
        <v/>
      </c>
    </row>
    <row r="113" ht="18" customHeight="1">
      <c r="B113" s="21">
        <f>IF(Transaksi!$A102="","",102)</f>
        <v/>
      </c>
      <c r="C113" s="20">
        <f>IF(Transaksi!$A102="","",Transaksi!$A102)</f>
        <v/>
      </c>
      <c r="D113" s="22">
        <f>IF(Transaksi!$A102="","",Transaksi!$C102)</f>
        <v/>
      </c>
      <c r="E113" s="21">
        <f>IF(Transaksi!$A102="","",Transaksi!$D102)</f>
        <v/>
      </c>
      <c r="F113" s="21">
        <f>IF(Transaksi!$A102="","",TRIM(IF(Transaksi!$C102="","Nominal kosong. ","")&amp;IF(N(Transaksi!$C102)&lt;0,"Nominal negatif. ","")&amp;IF(Transaksi!$B102="","Jenis belum diisi. ","")&amp;IF(Transaksi!$E102="","Kategori belum diisi. ","")&amp;IF(Transaksi!$A102&gt;TODAY(),"Tanggal di masa depan. ","")&amp;IF(COUNTIFS(Transaksi!$A$2:$A$501,Transaksi!$A102,Transaksi!$C$2:$C$501,Transaksi!$C102,Transaksi!$D$2:$D$501,Transaksi!$D102)&gt;1,"Kemungkinan duplikat. ","")))</f>
        <v/>
      </c>
    </row>
    <row r="114" ht="18" customHeight="1">
      <c r="B114" s="21">
        <f>IF(Transaksi!$A103="","",103)</f>
        <v/>
      </c>
      <c r="C114" s="20">
        <f>IF(Transaksi!$A103="","",Transaksi!$A103)</f>
        <v/>
      </c>
      <c r="D114" s="22">
        <f>IF(Transaksi!$A103="","",Transaksi!$C103)</f>
        <v/>
      </c>
      <c r="E114" s="21">
        <f>IF(Transaksi!$A103="","",Transaksi!$D103)</f>
        <v/>
      </c>
      <c r="F114" s="21">
        <f>IF(Transaksi!$A103="","",TRIM(IF(Transaksi!$C103="","Nominal kosong. ","")&amp;IF(N(Transaksi!$C103)&lt;0,"Nominal negatif. ","")&amp;IF(Transaksi!$B103="","Jenis belum diisi. ","")&amp;IF(Transaksi!$E103="","Kategori belum diisi. ","")&amp;IF(Transaksi!$A103&gt;TODAY(),"Tanggal di masa depan. ","")&amp;IF(COUNTIFS(Transaksi!$A$2:$A$501,Transaksi!$A103,Transaksi!$C$2:$C$501,Transaksi!$C103,Transaksi!$D$2:$D$501,Transaksi!$D103)&gt;1,"Kemungkinan duplikat. ","")))</f>
        <v/>
      </c>
    </row>
    <row r="115" ht="18" customHeight="1">
      <c r="B115" s="21">
        <f>IF(Transaksi!$A104="","",104)</f>
        <v/>
      </c>
      <c r="C115" s="20">
        <f>IF(Transaksi!$A104="","",Transaksi!$A104)</f>
        <v/>
      </c>
      <c r="D115" s="22">
        <f>IF(Transaksi!$A104="","",Transaksi!$C104)</f>
        <v/>
      </c>
      <c r="E115" s="21">
        <f>IF(Transaksi!$A104="","",Transaksi!$D104)</f>
        <v/>
      </c>
      <c r="F115" s="21">
        <f>IF(Transaksi!$A104="","",TRIM(IF(Transaksi!$C104="","Nominal kosong. ","")&amp;IF(N(Transaksi!$C104)&lt;0,"Nominal negatif. ","")&amp;IF(Transaksi!$B104="","Jenis belum diisi. ","")&amp;IF(Transaksi!$E104="","Kategori belum diisi. ","")&amp;IF(Transaksi!$A104&gt;TODAY(),"Tanggal di masa depan. ","")&amp;IF(COUNTIFS(Transaksi!$A$2:$A$501,Transaksi!$A104,Transaksi!$C$2:$C$501,Transaksi!$C104,Transaksi!$D$2:$D$501,Transaksi!$D104)&gt;1,"Kemungkinan duplikat. ","")))</f>
        <v/>
      </c>
    </row>
    <row r="116" ht="18" customHeight="1">
      <c r="B116" s="21">
        <f>IF(Transaksi!$A105="","",105)</f>
        <v/>
      </c>
      <c r="C116" s="20">
        <f>IF(Transaksi!$A105="","",Transaksi!$A105)</f>
        <v/>
      </c>
      <c r="D116" s="22">
        <f>IF(Transaksi!$A105="","",Transaksi!$C105)</f>
        <v/>
      </c>
      <c r="E116" s="21">
        <f>IF(Transaksi!$A105="","",Transaksi!$D105)</f>
        <v/>
      </c>
      <c r="F116" s="21">
        <f>IF(Transaksi!$A105="","",TRIM(IF(Transaksi!$C105="","Nominal kosong. ","")&amp;IF(N(Transaksi!$C105)&lt;0,"Nominal negatif. ","")&amp;IF(Transaksi!$B105="","Jenis belum diisi. ","")&amp;IF(Transaksi!$E105="","Kategori belum diisi. ","")&amp;IF(Transaksi!$A105&gt;TODAY(),"Tanggal di masa depan. ","")&amp;IF(COUNTIFS(Transaksi!$A$2:$A$501,Transaksi!$A105,Transaksi!$C$2:$C$501,Transaksi!$C105,Transaksi!$D$2:$D$501,Transaksi!$D105)&gt;1,"Kemungkinan duplikat. ","")))</f>
        <v/>
      </c>
    </row>
    <row r="117" ht="18" customHeight="1">
      <c r="B117" s="21">
        <f>IF(Transaksi!$A106="","",106)</f>
        <v/>
      </c>
      <c r="C117" s="20">
        <f>IF(Transaksi!$A106="","",Transaksi!$A106)</f>
        <v/>
      </c>
      <c r="D117" s="22">
        <f>IF(Transaksi!$A106="","",Transaksi!$C106)</f>
        <v/>
      </c>
      <c r="E117" s="21">
        <f>IF(Transaksi!$A106="","",Transaksi!$D106)</f>
        <v/>
      </c>
      <c r="F117" s="21">
        <f>IF(Transaksi!$A106="","",TRIM(IF(Transaksi!$C106="","Nominal kosong. ","")&amp;IF(N(Transaksi!$C106)&lt;0,"Nominal negatif. ","")&amp;IF(Transaksi!$B106="","Jenis belum diisi. ","")&amp;IF(Transaksi!$E106="","Kategori belum diisi. ","")&amp;IF(Transaksi!$A106&gt;TODAY(),"Tanggal di masa depan. ","")&amp;IF(COUNTIFS(Transaksi!$A$2:$A$501,Transaksi!$A106,Transaksi!$C$2:$C$501,Transaksi!$C106,Transaksi!$D$2:$D$501,Transaksi!$D106)&gt;1,"Kemungkinan duplikat. ","")))</f>
        <v/>
      </c>
    </row>
    <row r="118" ht="18" customHeight="1">
      <c r="B118" s="21">
        <f>IF(Transaksi!$A107="","",107)</f>
        <v/>
      </c>
      <c r="C118" s="20">
        <f>IF(Transaksi!$A107="","",Transaksi!$A107)</f>
        <v/>
      </c>
      <c r="D118" s="22">
        <f>IF(Transaksi!$A107="","",Transaksi!$C107)</f>
        <v/>
      </c>
      <c r="E118" s="21">
        <f>IF(Transaksi!$A107="","",Transaksi!$D107)</f>
        <v/>
      </c>
      <c r="F118" s="21">
        <f>IF(Transaksi!$A107="","",TRIM(IF(Transaksi!$C107="","Nominal kosong. ","")&amp;IF(N(Transaksi!$C107)&lt;0,"Nominal negatif. ","")&amp;IF(Transaksi!$B107="","Jenis belum diisi. ","")&amp;IF(Transaksi!$E107="","Kategori belum diisi. ","")&amp;IF(Transaksi!$A107&gt;TODAY(),"Tanggal di masa depan. ","")&amp;IF(COUNTIFS(Transaksi!$A$2:$A$501,Transaksi!$A107,Transaksi!$C$2:$C$501,Transaksi!$C107,Transaksi!$D$2:$D$501,Transaksi!$D107)&gt;1,"Kemungkinan duplikat. ","")))</f>
        <v/>
      </c>
    </row>
    <row r="119" ht="18" customHeight="1">
      <c r="B119" s="21">
        <f>IF(Transaksi!$A108="","",108)</f>
        <v/>
      </c>
      <c r="C119" s="20">
        <f>IF(Transaksi!$A108="","",Transaksi!$A108)</f>
        <v/>
      </c>
      <c r="D119" s="22">
        <f>IF(Transaksi!$A108="","",Transaksi!$C108)</f>
        <v/>
      </c>
      <c r="E119" s="21">
        <f>IF(Transaksi!$A108="","",Transaksi!$D108)</f>
        <v/>
      </c>
      <c r="F119" s="21">
        <f>IF(Transaksi!$A108="","",TRIM(IF(Transaksi!$C108="","Nominal kosong. ","")&amp;IF(N(Transaksi!$C108)&lt;0,"Nominal negatif. ","")&amp;IF(Transaksi!$B108="","Jenis belum diisi. ","")&amp;IF(Transaksi!$E108="","Kategori belum diisi. ","")&amp;IF(Transaksi!$A108&gt;TODAY(),"Tanggal di masa depan. ","")&amp;IF(COUNTIFS(Transaksi!$A$2:$A$501,Transaksi!$A108,Transaksi!$C$2:$C$501,Transaksi!$C108,Transaksi!$D$2:$D$501,Transaksi!$D108)&gt;1,"Kemungkinan duplikat. ","")))</f>
        <v/>
      </c>
    </row>
    <row r="120" ht="18" customHeight="1">
      <c r="B120" s="21">
        <f>IF(Transaksi!$A109="","",109)</f>
        <v/>
      </c>
      <c r="C120" s="20">
        <f>IF(Transaksi!$A109="","",Transaksi!$A109)</f>
        <v/>
      </c>
      <c r="D120" s="22">
        <f>IF(Transaksi!$A109="","",Transaksi!$C109)</f>
        <v/>
      </c>
      <c r="E120" s="21">
        <f>IF(Transaksi!$A109="","",Transaksi!$D109)</f>
        <v/>
      </c>
      <c r="F120" s="21">
        <f>IF(Transaksi!$A109="","",TRIM(IF(Transaksi!$C109="","Nominal kosong. ","")&amp;IF(N(Transaksi!$C109)&lt;0,"Nominal negatif. ","")&amp;IF(Transaksi!$B109="","Jenis belum diisi. ","")&amp;IF(Transaksi!$E109="","Kategori belum diisi. ","")&amp;IF(Transaksi!$A109&gt;TODAY(),"Tanggal di masa depan. ","")&amp;IF(COUNTIFS(Transaksi!$A$2:$A$501,Transaksi!$A109,Transaksi!$C$2:$C$501,Transaksi!$C109,Transaksi!$D$2:$D$501,Transaksi!$D109)&gt;1,"Kemungkinan duplikat. ","")))</f>
        <v/>
      </c>
    </row>
    <row r="121" ht="18" customHeight="1">
      <c r="B121" s="21">
        <f>IF(Transaksi!$A110="","",110)</f>
        <v/>
      </c>
      <c r="C121" s="20">
        <f>IF(Transaksi!$A110="","",Transaksi!$A110)</f>
        <v/>
      </c>
      <c r="D121" s="22">
        <f>IF(Transaksi!$A110="","",Transaksi!$C110)</f>
        <v/>
      </c>
      <c r="E121" s="21">
        <f>IF(Transaksi!$A110="","",Transaksi!$D110)</f>
        <v/>
      </c>
      <c r="F121" s="21">
        <f>IF(Transaksi!$A110="","",TRIM(IF(Transaksi!$C110="","Nominal kosong. ","")&amp;IF(N(Transaksi!$C110)&lt;0,"Nominal negatif. ","")&amp;IF(Transaksi!$B110="","Jenis belum diisi. ","")&amp;IF(Transaksi!$E110="","Kategori belum diisi. ","")&amp;IF(Transaksi!$A110&gt;TODAY(),"Tanggal di masa depan. ","")&amp;IF(COUNTIFS(Transaksi!$A$2:$A$501,Transaksi!$A110,Transaksi!$C$2:$C$501,Transaksi!$C110,Transaksi!$D$2:$D$501,Transaksi!$D110)&gt;1,"Kemungkinan duplikat. ","")))</f>
        <v/>
      </c>
    </row>
    <row r="122" ht="18" customHeight="1">
      <c r="B122" s="21">
        <f>IF(Transaksi!$A111="","",111)</f>
        <v/>
      </c>
      <c r="C122" s="20">
        <f>IF(Transaksi!$A111="","",Transaksi!$A111)</f>
        <v/>
      </c>
      <c r="D122" s="22">
        <f>IF(Transaksi!$A111="","",Transaksi!$C111)</f>
        <v/>
      </c>
      <c r="E122" s="21">
        <f>IF(Transaksi!$A111="","",Transaksi!$D111)</f>
        <v/>
      </c>
      <c r="F122" s="21">
        <f>IF(Transaksi!$A111="","",TRIM(IF(Transaksi!$C111="","Nominal kosong. ","")&amp;IF(N(Transaksi!$C111)&lt;0,"Nominal negatif. ","")&amp;IF(Transaksi!$B111="","Jenis belum diisi. ","")&amp;IF(Transaksi!$E111="","Kategori belum diisi. ","")&amp;IF(Transaksi!$A111&gt;TODAY(),"Tanggal di masa depan. ","")&amp;IF(COUNTIFS(Transaksi!$A$2:$A$501,Transaksi!$A111,Transaksi!$C$2:$C$501,Transaksi!$C111,Transaksi!$D$2:$D$501,Transaksi!$D111)&gt;1,"Kemungkinan duplikat. ","")))</f>
        <v/>
      </c>
    </row>
    <row r="123" ht="18" customHeight="1">
      <c r="B123" s="21">
        <f>IF(Transaksi!$A112="","",112)</f>
        <v/>
      </c>
      <c r="C123" s="20">
        <f>IF(Transaksi!$A112="","",Transaksi!$A112)</f>
        <v/>
      </c>
      <c r="D123" s="22">
        <f>IF(Transaksi!$A112="","",Transaksi!$C112)</f>
        <v/>
      </c>
      <c r="E123" s="21">
        <f>IF(Transaksi!$A112="","",Transaksi!$D112)</f>
        <v/>
      </c>
      <c r="F123" s="21">
        <f>IF(Transaksi!$A112="","",TRIM(IF(Transaksi!$C112="","Nominal kosong. ","")&amp;IF(N(Transaksi!$C112)&lt;0,"Nominal negatif. ","")&amp;IF(Transaksi!$B112="","Jenis belum diisi. ","")&amp;IF(Transaksi!$E112="","Kategori belum diisi. ","")&amp;IF(Transaksi!$A112&gt;TODAY(),"Tanggal di masa depan. ","")&amp;IF(COUNTIFS(Transaksi!$A$2:$A$501,Transaksi!$A112,Transaksi!$C$2:$C$501,Transaksi!$C112,Transaksi!$D$2:$D$501,Transaksi!$D112)&gt;1,"Kemungkinan duplikat. ","")))</f>
        <v/>
      </c>
    </row>
    <row r="124" ht="18" customHeight="1">
      <c r="B124" s="21">
        <f>IF(Transaksi!$A113="","",113)</f>
        <v/>
      </c>
      <c r="C124" s="20">
        <f>IF(Transaksi!$A113="","",Transaksi!$A113)</f>
        <v/>
      </c>
      <c r="D124" s="22">
        <f>IF(Transaksi!$A113="","",Transaksi!$C113)</f>
        <v/>
      </c>
      <c r="E124" s="21">
        <f>IF(Transaksi!$A113="","",Transaksi!$D113)</f>
        <v/>
      </c>
      <c r="F124" s="21">
        <f>IF(Transaksi!$A113="","",TRIM(IF(Transaksi!$C113="","Nominal kosong. ","")&amp;IF(N(Transaksi!$C113)&lt;0,"Nominal negatif. ","")&amp;IF(Transaksi!$B113="","Jenis belum diisi. ","")&amp;IF(Transaksi!$E113="","Kategori belum diisi. ","")&amp;IF(Transaksi!$A113&gt;TODAY(),"Tanggal di masa depan. ","")&amp;IF(COUNTIFS(Transaksi!$A$2:$A$501,Transaksi!$A113,Transaksi!$C$2:$C$501,Transaksi!$C113,Transaksi!$D$2:$D$501,Transaksi!$D113)&gt;1,"Kemungkinan duplikat. ","")))</f>
        <v/>
      </c>
    </row>
    <row r="125" ht="18" customHeight="1">
      <c r="B125" s="21">
        <f>IF(Transaksi!$A114="","",114)</f>
        <v/>
      </c>
      <c r="C125" s="20">
        <f>IF(Transaksi!$A114="","",Transaksi!$A114)</f>
        <v/>
      </c>
      <c r="D125" s="22">
        <f>IF(Transaksi!$A114="","",Transaksi!$C114)</f>
        <v/>
      </c>
      <c r="E125" s="21">
        <f>IF(Transaksi!$A114="","",Transaksi!$D114)</f>
        <v/>
      </c>
      <c r="F125" s="21">
        <f>IF(Transaksi!$A114="","",TRIM(IF(Transaksi!$C114="","Nominal kosong. ","")&amp;IF(N(Transaksi!$C114)&lt;0,"Nominal negatif. ","")&amp;IF(Transaksi!$B114="","Jenis belum diisi. ","")&amp;IF(Transaksi!$E114="","Kategori belum diisi. ","")&amp;IF(Transaksi!$A114&gt;TODAY(),"Tanggal di masa depan. ","")&amp;IF(COUNTIFS(Transaksi!$A$2:$A$501,Transaksi!$A114,Transaksi!$C$2:$C$501,Transaksi!$C114,Transaksi!$D$2:$D$501,Transaksi!$D114)&gt;1,"Kemungkinan duplikat. ","")))</f>
        <v/>
      </c>
    </row>
    <row r="126" ht="18" customHeight="1">
      <c r="B126" s="21">
        <f>IF(Transaksi!$A115="","",115)</f>
        <v/>
      </c>
      <c r="C126" s="20">
        <f>IF(Transaksi!$A115="","",Transaksi!$A115)</f>
        <v/>
      </c>
      <c r="D126" s="22">
        <f>IF(Transaksi!$A115="","",Transaksi!$C115)</f>
        <v/>
      </c>
      <c r="E126" s="21">
        <f>IF(Transaksi!$A115="","",Transaksi!$D115)</f>
        <v/>
      </c>
      <c r="F126" s="21">
        <f>IF(Transaksi!$A115="","",TRIM(IF(Transaksi!$C115="","Nominal kosong. ","")&amp;IF(N(Transaksi!$C115)&lt;0,"Nominal negatif. ","")&amp;IF(Transaksi!$B115="","Jenis belum diisi. ","")&amp;IF(Transaksi!$E115="","Kategori belum diisi. ","")&amp;IF(Transaksi!$A115&gt;TODAY(),"Tanggal di masa depan. ","")&amp;IF(COUNTIFS(Transaksi!$A$2:$A$501,Transaksi!$A115,Transaksi!$C$2:$C$501,Transaksi!$C115,Transaksi!$D$2:$D$501,Transaksi!$D115)&gt;1,"Kemungkinan duplikat. ","")))</f>
        <v/>
      </c>
    </row>
    <row r="127" ht="18" customHeight="1">
      <c r="B127" s="21">
        <f>IF(Transaksi!$A116="","",116)</f>
        <v/>
      </c>
      <c r="C127" s="20">
        <f>IF(Transaksi!$A116="","",Transaksi!$A116)</f>
        <v/>
      </c>
      <c r="D127" s="22">
        <f>IF(Transaksi!$A116="","",Transaksi!$C116)</f>
        <v/>
      </c>
      <c r="E127" s="21">
        <f>IF(Transaksi!$A116="","",Transaksi!$D116)</f>
        <v/>
      </c>
      <c r="F127" s="21">
        <f>IF(Transaksi!$A116="","",TRIM(IF(Transaksi!$C116="","Nominal kosong. ","")&amp;IF(N(Transaksi!$C116)&lt;0,"Nominal negatif. ","")&amp;IF(Transaksi!$B116="","Jenis belum diisi. ","")&amp;IF(Transaksi!$E116="","Kategori belum diisi. ","")&amp;IF(Transaksi!$A116&gt;TODAY(),"Tanggal di masa depan. ","")&amp;IF(COUNTIFS(Transaksi!$A$2:$A$501,Transaksi!$A116,Transaksi!$C$2:$C$501,Transaksi!$C116,Transaksi!$D$2:$D$501,Transaksi!$D116)&gt;1,"Kemungkinan duplikat. ","")))</f>
        <v/>
      </c>
    </row>
    <row r="128" ht="18" customHeight="1">
      <c r="B128" s="21">
        <f>IF(Transaksi!$A117="","",117)</f>
        <v/>
      </c>
      <c r="C128" s="20">
        <f>IF(Transaksi!$A117="","",Transaksi!$A117)</f>
        <v/>
      </c>
      <c r="D128" s="22">
        <f>IF(Transaksi!$A117="","",Transaksi!$C117)</f>
        <v/>
      </c>
      <c r="E128" s="21">
        <f>IF(Transaksi!$A117="","",Transaksi!$D117)</f>
        <v/>
      </c>
      <c r="F128" s="21">
        <f>IF(Transaksi!$A117="","",TRIM(IF(Transaksi!$C117="","Nominal kosong. ","")&amp;IF(N(Transaksi!$C117)&lt;0,"Nominal negatif. ","")&amp;IF(Transaksi!$B117="","Jenis belum diisi. ","")&amp;IF(Transaksi!$E117="","Kategori belum diisi. ","")&amp;IF(Transaksi!$A117&gt;TODAY(),"Tanggal di masa depan. ","")&amp;IF(COUNTIFS(Transaksi!$A$2:$A$501,Transaksi!$A117,Transaksi!$C$2:$C$501,Transaksi!$C117,Transaksi!$D$2:$D$501,Transaksi!$D117)&gt;1,"Kemungkinan duplikat. ","")))</f>
        <v/>
      </c>
    </row>
    <row r="129" ht="18" customHeight="1">
      <c r="B129" s="21">
        <f>IF(Transaksi!$A118="","",118)</f>
        <v/>
      </c>
      <c r="C129" s="20">
        <f>IF(Transaksi!$A118="","",Transaksi!$A118)</f>
        <v/>
      </c>
      <c r="D129" s="22">
        <f>IF(Transaksi!$A118="","",Transaksi!$C118)</f>
        <v/>
      </c>
      <c r="E129" s="21">
        <f>IF(Transaksi!$A118="","",Transaksi!$D118)</f>
        <v/>
      </c>
      <c r="F129" s="21">
        <f>IF(Transaksi!$A118="","",TRIM(IF(Transaksi!$C118="","Nominal kosong. ","")&amp;IF(N(Transaksi!$C118)&lt;0,"Nominal negatif. ","")&amp;IF(Transaksi!$B118="","Jenis belum diisi. ","")&amp;IF(Transaksi!$E118="","Kategori belum diisi. ","")&amp;IF(Transaksi!$A118&gt;TODAY(),"Tanggal di masa depan. ","")&amp;IF(COUNTIFS(Transaksi!$A$2:$A$501,Transaksi!$A118,Transaksi!$C$2:$C$501,Transaksi!$C118,Transaksi!$D$2:$D$501,Transaksi!$D118)&gt;1,"Kemungkinan duplikat. ","")))</f>
        <v/>
      </c>
    </row>
    <row r="130" ht="18" customHeight="1">
      <c r="B130" s="21">
        <f>IF(Transaksi!$A119="","",119)</f>
        <v/>
      </c>
      <c r="C130" s="20">
        <f>IF(Transaksi!$A119="","",Transaksi!$A119)</f>
        <v/>
      </c>
      <c r="D130" s="22">
        <f>IF(Transaksi!$A119="","",Transaksi!$C119)</f>
        <v/>
      </c>
      <c r="E130" s="21">
        <f>IF(Transaksi!$A119="","",Transaksi!$D119)</f>
        <v/>
      </c>
      <c r="F130" s="21">
        <f>IF(Transaksi!$A119="","",TRIM(IF(Transaksi!$C119="","Nominal kosong. ","")&amp;IF(N(Transaksi!$C119)&lt;0,"Nominal negatif. ","")&amp;IF(Transaksi!$B119="","Jenis belum diisi. ","")&amp;IF(Transaksi!$E119="","Kategori belum diisi. ","")&amp;IF(Transaksi!$A119&gt;TODAY(),"Tanggal di masa depan. ","")&amp;IF(COUNTIFS(Transaksi!$A$2:$A$501,Transaksi!$A119,Transaksi!$C$2:$C$501,Transaksi!$C119,Transaksi!$D$2:$D$501,Transaksi!$D119)&gt;1,"Kemungkinan duplikat. ","")))</f>
        <v/>
      </c>
    </row>
    <row r="131" ht="18" customHeight="1">
      <c r="B131" s="21">
        <f>IF(Transaksi!$A120="","",120)</f>
        <v/>
      </c>
      <c r="C131" s="20">
        <f>IF(Transaksi!$A120="","",Transaksi!$A120)</f>
        <v/>
      </c>
      <c r="D131" s="22">
        <f>IF(Transaksi!$A120="","",Transaksi!$C120)</f>
        <v/>
      </c>
      <c r="E131" s="21">
        <f>IF(Transaksi!$A120="","",Transaksi!$D120)</f>
        <v/>
      </c>
      <c r="F131" s="21">
        <f>IF(Transaksi!$A120="","",TRIM(IF(Transaksi!$C120="","Nominal kosong. ","")&amp;IF(N(Transaksi!$C120)&lt;0,"Nominal negatif. ","")&amp;IF(Transaksi!$B120="","Jenis belum diisi. ","")&amp;IF(Transaksi!$E120="","Kategori belum diisi. ","")&amp;IF(Transaksi!$A120&gt;TODAY(),"Tanggal di masa depan. ","")&amp;IF(COUNTIFS(Transaksi!$A$2:$A$501,Transaksi!$A120,Transaksi!$C$2:$C$501,Transaksi!$C120,Transaksi!$D$2:$D$501,Transaksi!$D120)&gt;1,"Kemungkinan duplikat. ","")))</f>
        <v/>
      </c>
    </row>
    <row r="132" ht="18" customHeight="1">
      <c r="B132" s="21">
        <f>IF(Transaksi!$A121="","",121)</f>
        <v/>
      </c>
      <c r="C132" s="20">
        <f>IF(Transaksi!$A121="","",Transaksi!$A121)</f>
        <v/>
      </c>
      <c r="D132" s="22">
        <f>IF(Transaksi!$A121="","",Transaksi!$C121)</f>
        <v/>
      </c>
      <c r="E132" s="21">
        <f>IF(Transaksi!$A121="","",Transaksi!$D121)</f>
        <v/>
      </c>
      <c r="F132" s="21">
        <f>IF(Transaksi!$A121="","",TRIM(IF(Transaksi!$C121="","Nominal kosong. ","")&amp;IF(N(Transaksi!$C121)&lt;0,"Nominal negatif. ","")&amp;IF(Transaksi!$B121="","Jenis belum diisi. ","")&amp;IF(Transaksi!$E121="","Kategori belum diisi. ","")&amp;IF(Transaksi!$A121&gt;TODAY(),"Tanggal di masa depan. ","")&amp;IF(COUNTIFS(Transaksi!$A$2:$A$501,Transaksi!$A121,Transaksi!$C$2:$C$501,Transaksi!$C121,Transaksi!$D$2:$D$501,Transaksi!$D121)&gt;1,"Kemungkinan duplikat. ","")))</f>
        <v/>
      </c>
    </row>
    <row r="133" ht="18" customHeight="1">
      <c r="B133" s="21">
        <f>IF(Transaksi!$A122="","",122)</f>
        <v/>
      </c>
      <c r="C133" s="20">
        <f>IF(Transaksi!$A122="","",Transaksi!$A122)</f>
        <v/>
      </c>
      <c r="D133" s="22">
        <f>IF(Transaksi!$A122="","",Transaksi!$C122)</f>
        <v/>
      </c>
      <c r="E133" s="21">
        <f>IF(Transaksi!$A122="","",Transaksi!$D122)</f>
        <v/>
      </c>
      <c r="F133" s="21">
        <f>IF(Transaksi!$A122="","",TRIM(IF(Transaksi!$C122="","Nominal kosong. ","")&amp;IF(N(Transaksi!$C122)&lt;0,"Nominal negatif. ","")&amp;IF(Transaksi!$B122="","Jenis belum diisi. ","")&amp;IF(Transaksi!$E122="","Kategori belum diisi. ","")&amp;IF(Transaksi!$A122&gt;TODAY(),"Tanggal di masa depan. ","")&amp;IF(COUNTIFS(Transaksi!$A$2:$A$501,Transaksi!$A122,Transaksi!$C$2:$C$501,Transaksi!$C122,Transaksi!$D$2:$D$501,Transaksi!$D122)&gt;1,"Kemungkinan duplikat. ","")))</f>
        <v/>
      </c>
    </row>
    <row r="134" ht="18" customHeight="1">
      <c r="B134" s="21">
        <f>IF(Transaksi!$A123="","",123)</f>
        <v/>
      </c>
      <c r="C134" s="20">
        <f>IF(Transaksi!$A123="","",Transaksi!$A123)</f>
        <v/>
      </c>
      <c r="D134" s="22">
        <f>IF(Transaksi!$A123="","",Transaksi!$C123)</f>
        <v/>
      </c>
      <c r="E134" s="21">
        <f>IF(Transaksi!$A123="","",Transaksi!$D123)</f>
        <v/>
      </c>
      <c r="F134" s="21">
        <f>IF(Transaksi!$A123="","",TRIM(IF(Transaksi!$C123="","Nominal kosong. ","")&amp;IF(N(Transaksi!$C123)&lt;0,"Nominal negatif. ","")&amp;IF(Transaksi!$B123="","Jenis belum diisi. ","")&amp;IF(Transaksi!$E123="","Kategori belum diisi. ","")&amp;IF(Transaksi!$A123&gt;TODAY(),"Tanggal di masa depan. ","")&amp;IF(COUNTIFS(Transaksi!$A$2:$A$501,Transaksi!$A123,Transaksi!$C$2:$C$501,Transaksi!$C123,Transaksi!$D$2:$D$501,Transaksi!$D123)&gt;1,"Kemungkinan duplikat. ","")))</f>
        <v/>
      </c>
    </row>
    <row r="135" ht="18" customHeight="1">
      <c r="B135" s="21">
        <f>IF(Transaksi!$A124="","",124)</f>
        <v/>
      </c>
      <c r="C135" s="20">
        <f>IF(Transaksi!$A124="","",Transaksi!$A124)</f>
        <v/>
      </c>
      <c r="D135" s="22">
        <f>IF(Transaksi!$A124="","",Transaksi!$C124)</f>
        <v/>
      </c>
      <c r="E135" s="21">
        <f>IF(Transaksi!$A124="","",Transaksi!$D124)</f>
        <v/>
      </c>
      <c r="F135" s="21">
        <f>IF(Transaksi!$A124="","",TRIM(IF(Transaksi!$C124="","Nominal kosong. ","")&amp;IF(N(Transaksi!$C124)&lt;0,"Nominal negatif. ","")&amp;IF(Transaksi!$B124="","Jenis belum diisi. ","")&amp;IF(Transaksi!$E124="","Kategori belum diisi. ","")&amp;IF(Transaksi!$A124&gt;TODAY(),"Tanggal di masa depan. ","")&amp;IF(COUNTIFS(Transaksi!$A$2:$A$501,Transaksi!$A124,Transaksi!$C$2:$C$501,Transaksi!$C124,Transaksi!$D$2:$D$501,Transaksi!$D124)&gt;1,"Kemungkinan duplikat. ","")))</f>
        <v/>
      </c>
    </row>
    <row r="136" ht="18" customHeight="1">
      <c r="B136" s="21">
        <f>IF(Transaksi!$A125="","",125)</f>
        <v/>
      </c>
      <c r="C136" s="20">
        <f>IF(Transaksi!$A125="","",Transaksi!$A125)</f>
        <v/>
      </c>
      <c r="D136" s="22">
        <f>IF(Transaksi!$A125="","",Transaksi!$C125)</f>
        <v/>
      </c>
      <c r="E136" s="21">
        <f>IF(Transaksi!$A125="","",Transaksi!$D125)</f>
        <v/>
      </c>
      <c r="F136" s="21">
        <f>IF(Transaksi!$A125="","",TRIM(IF(Transaksi!$C125="","Nominal kosong. ","")&amp;IF(N(Transaksi!$C125)&lt;0,"Nominal negatif. ","")&amp;IF(Transaksi!$B125="","Jenis belum diisi. ","")&amp;IF(Transaksi!$E125="","Kategori belum diisi. ","")&amp;IF(Transaksi!$A125&gt;TODAY(),"Tanggal di masa depan. ","")&amp;IF(COUNTIFS(Transaksi!$A$2:$A$501,Transaksi!$A125,Transaksi!$C$2:$C$501,Transaksi!$C125,Transaksi!$D$2:$D$501,Transaksi!$D125)&gt;1,"Kemungkinan duplikat. ","")))</f>
        <v/>
      </c>
    </row>
    <row r="137" ht="18" customHeight="1">
      <c r="B137" s="21">
        <f>IF(Transaksi!$A126="","",126)</f>
        <v/>
      </c>
      <c r="C137" s="20">
        <f>IF(Transaksi!$A126="","",Transaksi!$A126)</f>
        <v/>
      </c>
      <c r="D137" s="22">
        <f>IF(Transaksi!$A126="","",Transaksi!$C126)</f>
        <v/>
      </c>
      <c r="E137" s="21">
        <f>IF(Transaksi!$A126="","",Transaksi!$D126)</f>
        <v/>
      </c>
      <c r="F137" s="21">
        <f>IF(Transaksi!$A126="","",TRIM(IF(Transaksi!$C126="","Nominal kosong. ","")&amp;IF(N(Transaksi!$C126)&lt;0,"Nominal negatif. ","")&amp;IF(Transaksi!$B126="","Jenis belum diisi. ","")&amp;IF(Transaksi!$E126="","Kategori belum diisi. ","")&amp;IF(Transaksi!$A126&gt;TODAY(),"Tanggal di masa depan. ","")&amp;IF(COUNTIFS(Transaksi!$A$2:$A$501,Transaksi!$A126,Transaksi!$C$2:$C$501,Transaksi!$C126,Transaksi!$D$2:$D$501,Transaksi!$D126)&gt;1,"Kemungkinan duplikat. ","")))</f>
        <v/>
      </c>
    </row>
    <row r="138" ht="18" customHeight="1">
      <c r="B138" s="21">
        <f>IF(Transaksi!$A127="","",127)</f>
        <v/>
      </c>
      <c r="C138" s="20">
        <f>IF(Transaksi!$A127="","",Transaksi!$A127)</f>
        <v/>
      </c>
      <c r="D138" s="22">
        <f>IF(Transaksi!$A127="","",Transaksi!$C127)</f>
        <v/>
      </c>
      <c r="E138" s="21">
        <f>IF(Transaksi!$A127="","",Transaksi!$D127)</f>
        <v/>
      </c>
      <c r="F138" s="21">
        <f>IF(Transaksi!$A127="","",TRIM(IF(Transaksi!$C127="","Nominal kosong. ","")&amp;IF(N(Transaksi!$C127)&lt;0,"Nominal negatif. ","")&amp;IF(Transaksi!$B127="","Jenis belum diisi. ","")&amp;IF(Transaksi!$E127="","Kategori belum diisi. ","")&amp;IF(Transaksi!$A127&gt;TODAY(),"Tanggal di masa depan. ","")&amp;IF(COUNTIFS(Transaksi!$A$2:$A$501,Transaksi!$A127,Transaksi!$C$2:$C$501,Transaksi!$C127,Transaksi!$D$2:$D$501,Transaksi!$D127)&gt;1,"Kemungkinan duplikat. ","")))</f>
        <v/>
      </c>
    </row>
    <row r="139" ht="18" customHeight="1">
      <c r="B139" s="21">
        <f>IF(Transaksi!$A128="","",128)</f>
        <v/>
      </c>
      <c r="C139" s="20">
        <f>IF(Transaksi!$A128="","",Transaksi!$A128)</f>
        <v/>
      </c>
      <c r="D139" s="22">
        <f>IF(Transaksi!$A128="","",Transaksi!$C128)</f>
        <v/>
      </c>
      <c r="E139" s="21">
        <f>IF(Transaksi!$A128="","",Transaksi!$D128)</f>
        <v/>
      </c>
      <c r="F139" s="21">
        <f>IF(Transaksi!$A128="","",TRIM(IF(Transaksi!$C128="","Nominal kosong. ","")&amp;IF(N(Transaksi!$C128)&lt;0,"Nominal negatif. ","")&amp;IF(Transaksi!$B128="","Jenis belum diisi. ","")&amp;IF(Transaksi!$E128="","Kategori belum diisi. ","")&amp;IF(Transaksi!$A128&gt;TODAY(),"Tanggal di masa depan. ","")&amp;IF(COUNTIFS(Transaksi!$A$2:$A$501,Transaksi!$A128,Transaksi!$C$2:$C$501,Transaksi!$C128,Transaksi!$D$2:$D$501,Transaksi!$D128)&gt;1,"Kemungkinan duplikat. ","")))</f>
        <v/>
      </c>
    </row>
    <row r="140" ht="18" customHeight="1">
      <c r="B140" s="21">
        <f>IF(Transaksi!$A129="","",129)</f>
        <v/>
      </c>
      <c r="C140" s="20">
        <f>IF(Transaksi!$A129="","",Transaksi!$A129)</f>
        <v/>
      </c>
      <c r="D140" s="22">
        <f>IF(Transaksi!$A129="","",Transaksi!$C129)</f>
        <v/>
      </c>
      <c r="E140" s="21">
        <f>IF(Transaksi!$A129="","",Transaksi!$D129)</f>
        <v/>
      </c>
      <c r="F140" s="21">
        <f>IF(Transaksi!$A129="","",TRIM(IF(Transaksi!$C129="","Nominal kosong. ","")&amp;IF(N(Transaksi!$C129)&lt;0,"Nominal negatif. ","")&amp;IF(Transaksi!$B129="","Jenis belum diisi. ","")&amp;IF(Transaksi!$E129="","Kategori belum diisi. ","")&amp;IF(Transaksi!$A129&gt;TODAY(),"Tanggal di masa depan. ","")&amp;IF(COUNTIFS(Transaksi!$A$2:$A$501,Transaksi!$A129,Transaksi!$C$2:$C$501,Transaksi!$C129,Transaksi!$D$2:$D$501,Transaksi!$D129)&gt;1,"Kemungkinan duplikat. ","")))</f>
        <v/>
      </c>
    </row>
    <row r="141" ht="18" customHeight="1">
      <c r="B141" s="21">
        <f>IF(Transaksi!$A130="","",130)</f>
        <v/>
      </c>
      <c r="C141" s="20">
        <f>IF(Transaksi!$A130="","",Transaksi!$A130)</f>
        <v/>
      </c>
      <c r="D141" s="22">
        <f>IF(Transaksi!$A130="","",Transaksi!$C130)</f>
        <v/>
      </c>
      <c r="E141" s="21">
        <f>IF(Transaksi!$A130="","",Transaksi!$D130)</f>
        <v/>
      </c>
      <c r="F141" s="21">
        <f>IF(Transaksi!$A130="","",TRIM(IF(Transaksi!$C130="","Nominal kosong. ","")&amp;IF(N(Transaksi!$C130)&lt;0,"Nominal negatif. ","")&amp;IF(Transaksi!$B130="","Jenis belum diisi. ","")&amp;IF(Transaksi!$E130="","Kategori belum diisi. ","")&amp;IF(Transaksi!$A130&gt;TODAY(),"Tanggal di masa depan. ","")&amp;IF(COUNTIFS(Transaksi!$A$2:$A$501,Transaksi!$A130,Transaksi!$C$2:$C$501,Transaksi!$C130,Transaksi!$D$2:$D$501,Transaksi!$D130)&gt;1,"Kemungkinan duplikat. ","")))</f>
        <v/>
      </c>
    </row>
    <row r="142" ht="18" customHeight="1">
      <c r="B142" s="21">
        <f>IF(Transaksi!$A131="","",131)</f>
        <v/>
      </c>
      <c r="C142" s="20">
        <f>IF(Transaksi!$A131="","",Transaksi!$A131)</f>
        <v/>
      </c>
      <c r="D142" s="22">
        <f>IF(Transaksi!$A131="","",Transaksi!$C131)</f>
        <v/>
      </c>
      <c r="E142" s="21">
        <f>IF(Transaksi!$A131="","",Transaksi!$D131)</f>
        <v/>
      </c>
      <c r="F142" s="21">
        <f>IF(Transaksi!$A131="","",TRIM(IF(Transaksi!$C131="","Nominal kosong. ","")&amp;IF(N(Transaksi!$C131)&lt;0,"Nominal negatif. ","")&amp;IF(Transaksi!$B131="","Jenis belum diisi. ","")&amp;IF(Transaksi!$E131="","Kategori belum diisi. ","")&amp;IF(Transaksi!$A131&gt;TODAY(),"Tanggal di masa depan. ","")&amp;IF(COUNTIFS(Transaksi!$A$2:$A$501,Transaksi!$A131,Transaksi!$C$2:$C$501,Transaksi!$C131,Transaksi!$D$2:$D$501,Transaksi!$D131)&gt;1,"Kemungkinan duplikat. ","")))</f>
        <v/>
      </c>
    </row>
    <row r="143" ht="18" customHeight="1">
      <c r="B143" s="21">
        <f>IF(Transaksi!$A132="","",132)</f>
        <v/>
      </c>
      <c r="C143" s="20">
        <f>IF(Transaksi!$A132="","",Transaksi!$A132)</f>
        <v/>
      </c>
      <c r="D143" s="22">
        <f>IF(Transaksi!$A132="","",Transaksi!$C132)</f>
        <v/>
      </c>
      <c r="E143" s="21">
        <f>IF(Transaksi!$A132="","",Transaksi!$D132)</f>
        <v/>
      </c>
      <c r="F143" s="21">
        <f>IF(Transaksi!$A132="","",TRIM(IF(Transaksi!$C132="","Nominal kosong. ","")&amp;IF(N(Transaksi!$C132)&lt;0,"Nominal negatif. ","")&amp;IF(Transaksi!$B132="","Jenis belum diisi. ","")&amp;IF(Transaksi!$E132="","Kategori belum diisi. ","")&amp;IF(Transaksi!$A132&gt;TODAY(),"Tanggal di masa depan. ","")&amp;IF(COUNTIFS(Transaksi!$A$2:$A$501,Transaksi!$A132,Transaksi!$C$2:$C$501,Transaksi!$C132,Transaksi!$D$2:$D$501,Transaksi!$D132)&gt;1,"Kemungkinan duplikat. ","")))</f>
        <v/>
      </c>
    </row>
    <row r="144" ht="18" customHeight="1">
      <c r="B144" s="21">
        <f>IF(Transaksi!$A133="","",133)</f>
        <v/>
      </c>
      <c r="C144" s="20">
        <f>IF(Transaksi!$A133="","",Transaksi!$A133)</f>
        <v/>
      </c>
      <c r="D144" s="22">
        <f>IF(Transaksi!$A133="","",Transaksi!$C133)</f>
        <v/>
      </c>
      <c r="E144" s="21">
        <f>IF(Transaksi!$A133="","",Transaksi!$D133)</f>
        <v/>
      </c>
      <c r="F144" s="21">
        <f>IF(Transaksi!$A133="","",TRIM(IF(Transaksi!$C133="","Nominal kosong. ","")&amp;IF(N(Transaksi!$C133)&lt;0,"Nominal negatif. ","")&amp;IF(Transaksi!$B133="","Jenis belum diisi. ","")&amp;IF(Transaksi!$E133="","Kategori belum diisi. ","")&amp;IF(Transaksi!$A133&gt;TODAY(),"Tanggal di masa depan. ","")&amp;IF(COUNTIFS(Transaksi!$A$2:$A$501,Transaksi!$A133,Transaksi!$C$2:$C$501,Transaksi!$C133,Transaksi!$D$2:$D$501,Transaksi!$D133)&gt;1,"Kemungkinan duplikat. ","")))</f>
        <v/>
      </c>
    </row>
    <row r="145" ht="18" customHeight="1">
      <c r="B145" s="21">
        <f>IF(Transaksi!$A134="","",134)</f>
        <v/>
      </c>
      <c r="C145" s="20">
        <f>IF(Transaksi!$A134="","",Transaksi!$A134)</f>
        <v/>
      </c>
      <c r="D145" s="22">
        <f>IF(Transaksi!$A134="","",Transaksi!$C134)</f>
        <v/>
      </c>
      <c r="E145" s="21">
        <f>IF(Transaksi!$A134="","",Transaksi!$D134)</f>
        <v/>
      </c>
      <c r="F145" s="21">
        <f>IF(Transaksi!$A134="","",TRIM(IF(Transaksi!$C134="","Nominal kosong. ","")&amp;IF(N(Transaksi!$C134)&lt;0,"Nominal negatif. ","")&amp;IF(Transaksi!$B134="","Jenis belum diisi. ","")&amp;IF(Transaksi!$E134="","Kategori belum diisi. ","")&amp;IF(Transaksi!$A134&gt;TODAY(),"Tanggal di masa depan. ","")&amp;IF(COUNTIFS(Transaksi!$A$2:$A$501,Transaksi!$A134,Transaksi!$C$2:$C$501,Transaksi!$C134,Transaksi!$D$2:$D$501,Transaksi!$D134)&gt;1,"Kemungkinan duplikat. ","")))</f>
        <v/>
      </c>
    </row>
    <row r="146" ht="18" customHeight="1">
      <c r="B146" s="21">
        <f>IF(Transaksi!$A135="","",135)</f>
        <v/>
      </c>
      <c r="C146" s="20">
        <f>IF(Transaksi!$A135="","",Transaksi!$A135)</f>
        <v/>
      </c>
      <c r="D146" s="22">
        <f>IF(Transaksi!$A135="","",Transaksi!$C135)</f>
        <v/>
      </c>
      <c r="E146" s="21">
        <f>IF(Transaksi!$A135="","",Transaksi!$D135)</f>
        <v/>
      </c>
      <c r="F146" s="21">
        <f>IF(Transaksi!$A135="","",TRIM(IF(Transaksi!$C135="","Nominal kosong. ","")&amp;IF(N(Transaksi!$C135)&lt;0,"Nominal negatif. ","")&amp;IF(Transaksi!$B135="","Jenis belum diisi. ","")&amp;IF(Transaksi!$E135="","Kategori belum diisi. ","")&amp;IF(Transaksi!$A135&gt;TODAY(),"Tanggal di masa depan. ","")&amp;IF(COUNTIFS(Transaksi!$A$2:$A$501,Transaksi!$A135,Transaksi!$C$2:$C$501,Transaksi!$C135,Transaksi!$D$2:$D$501,Transaksi!$D135)&gt;1,"Kemungkinan duplikat. ","")))</f>
        <v/>
      </c>
    </row>
    <row r="147" ht="18" customHeight="1">
      <c r="B147" s="21">
        <f>IF(Transaksi!$A136="","",136)</f>
        <v/>
      </c>
      <c r="C147" s="20">
        <f>IF(Transaksi!$A136="","",Transaksi!$A136)</f>
        <v/>
      </c>
      <c r="D147" s="22">
        <f>IF(Transaksi!$A136="","",Transaksi!$C136)</f>
        <v/>
      </c>
      <c r="E147" s="21">
        <f>IF(Transaksi!$A136="","",Transaksi!$D136)</f>
        <v/>
      </c>
      <c r="F147" s="21">
        <f>IF(Transaksi!$A136="","",TRIM(IF(Transaksi!$C136="","Nominal kosong. ","")&amp;IF(N(Transaksi!$C136)&lt;0,"Nominal negatif. ","")&amp;IF(Transaksi!$B136="","Jenis belum diisi. ","")&amp;IF(Transaksi!$E136="","Kategori belum diisi. ","")&amp;IF(Transaksi!$A136&gt;TODAY(),"Tanggal di masa depan. ","")&amp;IF(COUNTIFS(Transaksi!$A$2:$A$501,Transaksi!$A136,Transaksi!$C$2:$C$501,Transaksi!$C136,Transaksi!$D$2:$D$501,Transaksi!$D136)&gt;1,"Kemungkinan duplikat. ","")))</f>
        <v/>
      </c>
    </row>
    <row r="148" ht="18" customHeight="1">
      <c r="B148" s="21">
        <f>IF(Transaksi!$A137="","",137)</f>
        <v/>
      </c>
      <c r="C148" s="20">
        <f>IF(Transaksi!$A137="","",Transaksi!$A137)</f>
        <v/>
      </c>
      <c r="D148" s="22">
        <f>IF(Transaksi!$A137="","",Transaksi!$C137)</f>
        <v/>
      </c>
      <c r="E148" s="21">
        <f>IF(Transaksi!$A137="","",Transaksi!$D137)</f>
        <v/>
      </c>
      <c r="F148" s="21">
        <f>IF(Transaksi!$A137="","",TRIM(IF(Transaksi!$C137="","Nominal kosong. ","")&amp;IF(N(Transaksi!$C137)&lt;0,"Nominal negatif. ","")&amp;IF(Transaksi!$B137="","Jenis belum diisi. ","")&amp;IF(Transaksi!$E137="","Kategori belum diisi. ","")&amp;IF(Transaksi!$A137&gt;TODAY(),"Tanggal di masa depan. ","")&amp;IF(COUNTIFS(Transaksi!$A$2:$A$501,Transaksi!$A137,Transaksi!$C$2:$C$501,Transaksi!$C137,Transaksi!$D$2:$D$501,Transaksi!$D137)&gt;1,"Kemungkinan duplikat. ","")))</f>
        <v/>
      </c>
    </row>
    <row r="149" ht="18" customHeight="1">
      <c r="B149" s="21">
        <f>IF(Transaksi!$A138="","",138)</f>
        <v/>
      </c>
      <c r="C149" s="20">
        <f>IF(Transaksi!$A138="","",Transaksi!$A138)</f>
        <v/>
      </c>
      <c r="D149" s="22">
        <f>IF(Transaksi!$A138="","",Transaksi!$C138)</f>
        <v/>
      </c>
      <c r="E149" s="21">
        <f>IF(Transaksi!$A138="","",Transaksi!$D138)</f>
        <v/>
      </c>
      <c r="F149" s="21">
        <f>IF(Transaksi!$A138="","",TRIM(IF(Transaksi!$C138="","Nominal kosong. ","")&amp;IF(N(Transaksi!$C138)&lt;0,"Nominal negatif. ","")&amp;IF(Transaksi!$B138="","Jenis belum diisi. ","")&amp;IF(Transaksi!$E138="","Kategori belum diisi. ","")&amp;IF(Transaksi!$A138&gt;TODAY(),"Tanggal di masa depan. ","")&amp;IF(COUNTIFS(Transaksi!$A$2:$A$501,Transaksi!$A138,Transaksi!$C$2:$C$501,Transaksi!$C138,Transaksi!$D$2:$D$501,Transaksi!$D138)&gt;1,"Kemungkinan duplikat. ","")))</f>
        <v/>
      </c>
    </row>
    <row r="150" ht="18" customHeight="1">
      <c r="B150" s="21">
        <f>IF(Transaksi!$A139="","",139)</f>
        <v/>
      </c>
      <c r="C150" s="20">
        <f>IF(Transaksi!$A139="","",Transaksi!$A139)</f>
        <v/>
      </c>
      <c r="D150" s="22">
        <f>IF(Transaksi!$A139="","",Transaksi!$C139)</f>
        <v/>
      </c>
      <c r="E150" s="21">
        <f>IF(Transaksi!$A139="","",Transaksi!$D139)</f>
        <v/>
      </c>
      <c r="F150" s="21">
        <f>IF(Transaksi!$A139="","",TRIM(IF(Transaksi!$C139="","Nominal kosong. ","")&amp;IF(N(Transaksi!$C139)&lt;0,"Nominal negatif. ","")&amp;IF(Transaksi!$B139="","Jenis belum diisi. ","")&amp;IF(Transaksi!$E139="","Kategori belum diisi. ","")&amp;IF(Transaksi!$A139&gt;TODAY(),"Tanggal di masa depan. ","")&amp;IF(COUNTIFS(Transaksi!$A$2:$A$501,Transaksi!$A139,Transaksi!$C$2:$C$501,Transaksi!$C139,Transaksi!$D$2:$D$501,Transaksi!$D139)&gt;1,"Kemungkinan duplikat. ","")))</f>
        <v/>
      </c>
    </row>
    <row r="151" ht="18" customHeight="1">
      <c r="B151" s="21">
        <f>IF(Transaksi!$A140="","",140)</f>
        <v/>
      </c>
      <c r="C151" s="20">
        <f>IF(Transaksi!$A140="","",Transaksi!$A140)</f>
        <v/>
      </c>
      <c r="D151" s="22">
        <f>IF(Transaksi!$A140="","",Transaksi!$C140)</f>
        <v/>
      </c>
      <c r="E151" s="21">
        <f>IF(Transaksi!$A140="","",Transaksi!$D140)</f>
        <v/>
      </c>
      <c r="F151" s="21">
        <f>IF(Transaksi!$A140="","",TRIM(IF(Transaksi!$C140="","Nominal kosong. ","")&amp;IF(N(Transaksi!$C140)&lt;0,"Nominal negatif. ","")&amp;IF(Transaksi!$B140="","Jenis belum diisi. ","")&amp;IF(Transaksi!$E140="","Kategori belum diisi. ","")&amp;IF(Transaksi!$A140&gt;TODAY(),"Tanggal di masa depan. ","")&amp;IF(COUNTIFS(Transaksi!$A$2:$A$501,Transaksi!$A140,Transaksi!$C$2:$C$501,Transaksi!$C140,Transaksi!$D$2:$D$501,Transaksi!$D140)&gt;1,"Kemungkinan duplikat. ","")))</f>
        <v/>
      </c>
    </row>
    <row r="152" ht="18" customHeight="1">
      <c r="B152" s="21">
        <f>IF(Transaksi!$A141="","",141)</f>
        <v/>
      </c>
      <c r="C152" s="20">
        <f>IF(Transaksi!$A141="","",Transaksi!$A141)</f>
        <v/>
      </c>
      <c r="D152" s="22">
        <f>IF(Transaksi!$A141="","",Transaksi!$C141)</f>
        <v/>
      </c>
      <c r="E152" s="21">
        <f>IF(Transaksi!$A141="","",Transaksi!$D141)</f>
        <v/>
      </c>
      <c r="F152" s="21">
        <f>IF(Transaksi!$A141="","",TRIM(IF(Transaksi!$C141="","Nominal kosong. ","")&amp;IF(N(Transaksi!$C141)&lt;0,"Nominal negatif. ","")&amp;IF(Transaksi!$B141="","Jenis belum diisi. ","")&amp;IF(Transaksi!$E141="","Kategori belum diisi. ","")&amp;IF(Transaksi!$A141&gt;TODAY(),"Tanggal di masa depan. ","")&amp;IF(COUNTIFS(Transaksi!$A$2:$A$501,Transaksi!$A141,Transaksi!$C$2:$C$501,Transaksi!$C141,Transaksi!$D$2:$D$501,Transaksi!$D141)&gt;1,"Kemungkinan duplikat. ","")))</f>
        <v/>
      </c>
    </row>
    <row r="153" ht="18" customHeight="1">
      <c r="B153" s="21">
        <f>IF(Transaksi!$A142="","",142)</f>
        <v/>
      </c>
      <c r="C153" s="20">
        <f>IF(Transaksi!$A142="","",Transaksi!$A142)</f>
        <v/>
      </c>
      <c r="D153" s="22">
        <f>IF(Transaksi!$A142="","",Transaksi!$C142)</f>
        <v/>
      </c>
      <c r="E153" s="21">
        <f>IF(Transaksi!$A142="","",Transaksi!$D142)</f>
        <v/>
      </c>
      <c r="F153" s="21">
        <f>IF(Transaksi!$A142="","",TRIM(IF(Transaksi!$C142="","Nominal kosong. ","")&amp;IF(N(Transaksi!$C142)&lt;0,"Nominal negatif. ","")&amp;IF(Transaksi!$B142="","Jenis belum diisi. ","")&amp;IF(Transaksi!$E142="","Kategori belum diisi. ","")&amp;IF(Transaksi!$A142&gt;TODAY(),"Tanggal di masa depan. ","")&amp;IF(COUNTIFS(Transaksi!$A$2:$A$501,Transaksi!$A142,Transaksi!$C$2:$C$501,Transaksi!$C142,Transaksi!$D$2:$D$501,Transaksi!$D142)&gt;1,"Kemungkinan duplikat. ","")))</f>
        <v/>
      </c>
    </row>
    <row r="154" ht="18" customHeight="1">
      <c r="B154" s="21">
        <f>IF(Transaksi!$A143="","",143)</f>
        <v/>
      </c>
      <c r="C154" s="20">
        <f>IF(Transaksi!$A143="","",Transaksi!$A143)</f>
        <v/>
      </c>
      <c r="D154" s="22">
        <f>IF(Transaksi!$A143="","",Transaksi!$C143)</f>
        <v/>
      </c>
      <c r="E154" s="21">
        <f>IF(Transaksi!$A143="","",Transaksi!$D143)</f>
        <v/>
      </c>
      <c r="F154" s="21">
        <f>IF(Transaksi!$A143="","",TRIM(IF(Transaksi!$C143="","Nominal kosong. ","")&amp;IF(N(Transaksi!$C143)&lt;0,"Nominal negatif. ","")&amp;IF(Transaksi!$B143="","Jenis belum diisi. ","")&amp;IF(Transaksi!$E143="","Kategori belum diisi. ","")&amp;IF(Transaksi!$A143&gt;TODAY(),"Tanggal di masa depan. ","")&amp;IF(COUNTIFS(Transaksi!$A$2:$A$501,Transaksi!$A143,Transaksi!$C$2:$C$501,Transaksi!$C143,Transaksi!$D$2:$D$501,Transaksi!$D143)&gt;1,"Kemungkinan duplikat. ","")))</f>
        <v/>
      </c>
    </row>
    <row r="155" ht="18" customHeight="1">
      <c r="B155" s="21">
        <f>IF(Transaksi!$A144="","",144)</f>
        <v/>
      </c>
      <c r="C155" s="20">
        <f>IF(Transaksi!$A144="","",Transaksi!$A144)</f>
        <v/>
      </c>
      <c r="D155" s="22">
        <f>IF(Transaksi!$A144="","",Transaksi!$C144)</f>
        <v/>
      </c>
      <c r="E155" s="21">
        <f>IF(Transaksi!$A144="","",Transaksi!$D144)</f>
        <v/>
      </c>
      <c r="F155" s="21">
        <f>IF(Transaksi!$A144="","",TRIM(IF(Transaksi!$C144="","Nominal kosong. ","")&amp;IF(N(Transaksi!$C144)&lt;0,"Nominal negatif. ","")&amp;IF(Transaksi!$B144="","Jenis belum diisi. ","")&amp;IF(Transaksi!$E144="","Kategori belum diisi. ","")&amp;IF(Transaksi!$A144&gt;TODAY(),"Tanggal di masa depan. ","")&amp;IF(COUNTIFS(Transaksi!$A$2:$A$501,Transaksi!$A144,Transaksi!$C$2:$C$501,Transaksi!$C144,Transaksi!$D$2:$D$501,Transaksi!$D144)&gt;1,"Kemungkinan duplikat. ","")))</f>
        <v/>
      </c>
    </row>
    <row r="156" ht="18" customHeight="1">
      <c r="B156" s="21">
        <f>IF(Transaksi!$A145="","",145)</f>
        <v/>
      </c>
      <c r="C156" s="20">
        <f>IF(Transaksi!$A145="","",Transaksi!$A145)</f>
        <v/>
      </c>
      <c r="D156" s="22">
        <f>IF(Transaksi!$A145="","",Transaksi!$C145)</f>
        <v/>
      </c>
      <c r="E156" s="21">
        <f>IF(Transaksi!$A145="","",Transaksi!$D145)</f>
        <v/>
      </c>
      <c r="F156" s="21">
        <f>IF(Transaksi!$A145="","",TRIM(IF(Transaksi!$C145="","Nominal kosong. ","")&amp;IF(N(Transaksi!$C145)&lt;0,"Nominal negatif. ","")&amp;IF(Transaksi!$B145="","Jenis belum diisi. ","")&amp;IF(Transaksi!$E145="","Kategori belum diisi. ","")&amp;IF(Transaksi!$A145&gt;TODAY(),"Tanggal di masa depan. ","")&amp;IF(COUNTIFS(Transaksi!$A$2:$A$501,Transaksi!$A145,Transaksi!$C$2:$C$501,Transaksi!$C145,Transaksi!$D$2:$D$501,Transaksi!$D145)&gt;1,"Kemungkinan duplikat. ","")))</f>
        <v/>
      </c>
    </row>
    <row r="157" ht="18" customHeight="1">
      <c r="B157" s="21">
        <f>IF(Transaksi!$A146="","",146)</f>
        <v/>
      </c>
      <c r="C157" s="20">
        <f>IF(Transaksi!$A146="","",Transaksi!$A146)</f>
        <v/>
      </c>
      <c r="D157" s="22">
        <f>IF(Transaksi!$A146="","",Transaksi!$C146)</f>
        <v/>
      </c>
      <c r="E157" s="21">
        <f>IF(Transaksi!$A146="","",Transaksi!$D146)</f>
        <v/>
      </c>
      <c r="F157" s="21">
        <f>IF(Transaksi!$A146="","",TRIM(IF(Transaksi!$C146="","Nominal kosong. ","")&amp;IF(N(Transaksi!$C146)&lt;0,"Nominal negatif. ","")&amp;IF(Transaksi!$B146="","Jenis belum diisi. ","")&amp;IF(Transaksi!$E146="","Kategori belum diisi. ","")&amp;IF(Transaksi!$A146&gt;TODAY(),"Tanggal di masa depan. ","")&amp;IF(COUNTIFS(Transaksi!$A$2:$A$501,Transaksi!$A146,Transaksi!$C$2:$C$501,Transaksi!$C146,Transaksi!$D$2:$D$501,Transaksi!$D146)&gt;1,"Kemungkinan duplikat. ","")))</f>
        <v/>
      </c>
    </row>
    <row r="158" ht="18" customHeight="1">
      <c r="B158" s="21">
        <f>IF(Transaksi!$A147="","",147)</f>
        <v/>
      </c>
      <c r="C158" s="20">
        <f>IF(Transaksi!$A147="","",Transaksi!$A147)</f>
        <v/>
      </c>
      <c r="D158" s="22">
        <f>IF(Transaksi!$A147="","",Transaksi!$C147)</f>
        <v/>
      </c>
      <c r="E158" s="21">
        <f>IF(Transaksi!$A147="","",Transaksi!$D147)</f>
        <v/>
      </c>
      <c r="F158" s="21">
        <f>IF(Transaksi!$A147="","",TRIM(IF(Transaksi!$C147="","Nominal kosong. ","")&amp;IF(N(Transaksi!$C147)&lt;0,"Nominal negatif. ","")&amp;IF(Transaksi!$B147="","Jenis belum diisi. ","")&amp;IF(Transaksi!$E147="","Kategori belum diisi. ","")&amp;IF(Transaksi!$A147&gt;TODAY(),"Tanggal di masa depan. ","")&amp;IF(COUNTIFS(Transaksi!$A$2:$A$501,Transaksi!$A147,Transaksi!$C$2:$C$501,Transaksi!$C147,Transaksi!$D$2:$D$501,Transaksi!$D147)&gt;1,"Kemungkinan duplikat. ","")))</f>
        <v/>
      </c>
    </row>
    <row r="159" ht="18" customHeight="1">
      <c r="B159" s="21">
        <f>IF(Transaksi!$A148="","",148)</f>
        <v/>
      </c>
      <c r="C159" s="20">
        <f>IF(Transaksi!$A148="","",Transaksi!$A148)</f>
        <v/>
      </c>
      <c r="D159" s="22">
        <f>IF(Transaksi!$A148="","",Transaksi!$C148)</f>
        <v/>
      </c>
      <c r="E159" s="21">
        <f>IF(Transaksi!$A148="","",Transaksi!$D148)</f>
        <v/>
      </c>
      <c r="F159" s="21">
        <f>IF(Transaksi!$A148="","",TRIM(IF(Transaksi!$C148="","Nominal kosong. ","")&amp;IF(N(Transaksi!$C148)&lt;0,"Nominal negatif. ","")&amp;IF(Transaksi!$B148="","Jenis belum diisi. ","")&amp;IF(Transaksi!$E148="","Kategori belum diisi. ","")&amp;IF(Transaksi!$A148&gt;TODAY(),"Tanggal di masa depan. ","")&amp;IF(COUNTIFS(Transaksi!$A$2:$A$501,Transaksi!$A148,Transaksi!$C$2:$C$501,Transaksi!$C148,Transaksi!$D$2:$D$501,Transaksi!$D148)&gt;1,"Kemungkinan duplikat. ","")))</f>
        <v/>
      </c>
    </row>
    <row r="160" ht="18" customHeight="1">
      <c r="B160" s="21">
        <f>IF(Transaksi!$A149="","",149)</f>
        <v/>
      </c>
      <c r="C160" s="20">
        <f>IF(Transaksi!$A149="","",Transaksi!$A149)</f>
        <v/>
      </c>
      <c r="D160" s="22">
        <f>IF(Transaksi!$A149="","",Transaksi!$C149)</f>
        <v/>
      </c>
      <c r="E160" s="21">
        <f>IF(Transaksi!$A149="","",Transaksi!$D149)</f>
        <v/>
      </c>
      <c r="F160" s="21">
        <f>IF(Transaksi!$A149="","",TRIM(IF(Transaksi!$C149="","Nominal kosong. ","")&amp;IF(N(Transaksi!$C149)&lt;0,"Nominal negatif. ","")&amp;IF(Transaksi!$B149="","Jenis belum diisi. ","")&amp;IF(Transaksi!$E149="","Kategori belum diisi. ","")&amp;IF(Transaksi!$A149&gt;TODAY(),"Tanggal di masa depan. ","")&amp;IF(COUNTIFS(Transaksi!$A$2:$A$501,Transaksi!$A149,Transaksi!$C$2:$C$501,Transaksi!$C149,Transaksi!$D$2:$D$501,Transaksi!$D149)&gt;1,"Kemungkinan duplikat. ","")))</f>
        <v/>
      </c>
    </row>
    <row r="161" ht="18" customHeight="1">
      <c r="B161" s="21">
        <f>IF(Transaksi!$A150="","",150)</f>
        <v/>
      </c>
      <c r="C161" s="20">
        <f>IF(Transaksi!$A150="","",Transaksi!$A150)</f>
        <v/>
      </c>
      <c r="D161" s="22">
        <f>IF(Transaksi!$A150="","",Transaksi!$C150)</f>
        <v/>
      </c>
      <c r="E161" s="21">
        <f>IF(Transaksi!$A150="","",Transaksi!$D150)</f>
        <v/>
      </c>
      <c r="F161" s="21">
        <f>IF(Transaksi!$A150="","",TRIM(IF(Transaksi!$C150="","Nominal kosong. ","")&amp;IF(N(Transaksi!$C150)&lt;0,"Nominal negatif. ","")&amp;IF(Transaksi!$B150="","Jenis belum diisi. ","")&amp;IF(Transaksi!$E150="","Kategori belum diisi. ","")&amp;IF(Transaksi!$A150&gt;TODAY(),"Tanggal di masa depan. ","")&amp;IF(COUNTIFS(Transaksi!$A$2:$A$501,Transaksi!$A150,Transaksi!$C$2:$C$501,Transaksi!$C150,Transaksi!$D$2:$D$501,Transaksi!$D150)&gt;1,"Kemungkinan duplikat. ","")))</f>
        <v/>
      </c>
    </row>
    <row r="162" ht="18" customHeight="1">
      <c r="B162" s="21">
        <f>IF(Transaksi!$A151="","",151)</f>
        <v/>
      </c>
      <c r="C162" s="20">
        <f>IF(Transaksi!$A151="","",Transaksi!$A151)</f>
        <v/>
      </c>
      <c r="D162" s="22">
        <f>IF(Transaksi!$A151="","",Transaksi!$C151)</f>
        <v/>
      </c>
      <c r="E162" s="21">
        <f>IF(Transaksi!$A151="","",Transaksi!$D151)</f>
        <v/>
      </c>
      <c r="F162" s="21">
        <f>IF(Transaksi!$A151="","",TRIM(IF(Transaksi!$C151="","Nominal kosong. ","")&amp;IF(N(Transaksi!$C151)&lt;0,"Nominal negatif. ","")&amp;IF(Transaksi!$B151="","Jenis belum diisi. ","")&amp;IF(Transaksi!$E151="","Kategori belum diisi. ","")&amp;IF(Transaksi!$A151&gt;TODAY(),"Tanggal di masa depan. ","")&amp;IF(COUNTIFS(Transaksi!$A$2:$A$501,Transaksi!$A151,Transaksi!$C$2:$C$501,Transaksi!$C151,Transaksi!$D$2:$D$501,Transaksi!$D151)&gt;1,"Kemungkinan duplikat. ","")))</f>
        <v/>
      </c>
    </row>
    <row r="163" ht="18" customHeight="1">
      <c r="B163" s="21">
        <f>IF(Transaksi!$A152="","",152)</f>
        <v/>
      </c>
      <c r="C163" s="20">
        <f>IF(Transaksi!$A152="","",Transaksi!$A152)</f>
        <v/>
      </c>
      <c r="D163" s="22">
        <f>IF(Transaksi!$A152="","",Transaksi!$C152)</f>
        <v/>
      </c>
      <c r="E163" s="21">
        <f>IF(Transaksi!$A152="","",Transaksi!$D152)</f>
        <v/>
      </c>
      <c r="F163" s="21">
        <f>IF(Transaksi!$A152="","",TRIM(IF(Transaksi!$C152="","Nominal kosong. ","")&amp;IF(N(Transaksi!$C152)&lt;0,"Nominal negatif. ","")&amp;IF(Transaksi!$B152="","Jenis belum diisi. ","")&amp;IF(Transaksi!$E152="","Kategori belum diisi. ","")&amp;IF(Transaksi!$A152&gt;TODAY(),"Tanggal di masa depan. ","")&amp;IF(COUNTIFS(Transaksi!$A$2:$A$501,Transaksi!$A152,Transaksi!$C$2:$C$501,Transaksi!$C152,Transaksi!$D$2:$D$501,Transaksi!$D152)&gt;1,"Kemungkinan duplikat. ","")))</f>
        <v/>
      </c>
    </row>
    <row r="164" ht="18" customHeight="1">
      <c r="B164" s="21">
        <f>IF(Transaksi!$A153="","",153)</f>
        <v/>
      </c>
      <c r="C164" s="20">
        <f>IF(Transaksi!$A153="","",Transaksi!$A153)</f>
        <v/>
      </c>
      <c r="D164" s="22">
        <f>IF(Transaksi!$A153="","",Transaksi!$C153)</f>
        <v/>
      </c>
      <c r="E164" s="21">
        <f>IF(Transaksi!$A153="","",Transaksi!$D153)</f>
        <v/>
      </c>
      <c r="F164" s="21">
        <f>IF(Transaksi!$A153="","",TRIM(IF(Transaksi!$C153="","Nominal kosong. ","")&amp;IF(N(Transaksi!$C153)&lt;0,"Nominal negatif. ","")&amp;IF(Transaksi!$B153="","Jenis belum diisi. ","")&amp;IF(Transaksi!$E153="","Kategori belum diisi. ","")&amp;IF(Transaksi!$A153&gt;TODAY(),"Tanggal di masa depan. ","")&amp;IF(COUNTIFS(Transaksi!$A$2:$A$501,Transaksi!$A153,Transaksi!$C$2:$C$501,Transaksi!$C153,Transaksi!$D$2:$D$501,Transaksi!$D153)&gt;1,"Kemungkinan duplikat. ","")))</f>
        <v/>
      </c>
    </row>
    <row r="165" ht="18" customHeight="1">
      <c r="B165" s="21">
        <f>IF(Transaksi!$A154="","",154)</f>
        <v/>
      </c>
      <c r="C165" s="20">
        <f>IF(Transaksi!$A154="","",Transaksi!$A154)</f>
        <v/>
      </c>
      <c r="D165" s="22">
        <f>IF(Transaksi!$A154="","",Transaksi!$C154)</f>
        <v/>
      </c>
      <c r="E165" s="21">
        <f>IF(Transaksi!$A154="","",Transaksi!$D154)</f>
        <v/>
      </c>
      <c r="F165" s="21">
        <f>IF(Transaksi!$A154="","",TRIM(IF(Transaksi!$C154="","Nominal kosong. ","")&amp;IF(N(Transaksi!$C154)&lt;0,"Nominal negatif. ","")&amp;IF(Transaksi!$B154="","Jenis belum diisi. ","")&amp;IF(Transaksi!$E154="","Kategori belum diisi. ","")&amp;IF(Transaksi!$A154&gt;TODAY(),"Tanggal di masa depan. ","")&amp;IF(COUNTIFS(Transaksi!$A$2:$A$501,Transaksi!$A154,Transaksi!$C$2:$C$501,Transaksi!$C154,Transaksi!$D$2:$D$501,Transaksi!$D154)&gt;1,"Kemungkinan duplikat. ","")))</f>
        <v/>
      </c>
    </row>
    <row r="166" ht="18" customHeight="1">
      <c r="B166" s="21">
        <f>IF(Transaksi!$A155="","",155)</f>
        <v/>
      </c>
      <c r="C166" s="20">
        <f>IF(Transaksi!$A155="","",Transaksi!$A155)</f>
        <v/>
      </c>
      <c r="D166" s="22">
        <f>IF(Transaksi!$A155="","",Transaksi!$C155)</f>
        <v/>
      </c>
      <c r="E166" s="21">
        <f>IF(Transaksi!$A155="","",Transaksi!$D155)</f>
        <v/>
      </c>
      <c r="F166" s="21">
        <f>IF(Transaksi!$A155="","",TRIM(IF(Transaksi!$C155="","Nominal kosong. ","")&amp;IF(N(Transaksi!$C155)&lt;0,"Nominal negatif. ","")&amp;IF(Transaksi!$B155="","Jenis belum diisi. ","")&amp;IF(Transaksi!$E155="","Kategori belum diisi. ","")&amp;IF(Transaksi!$A155&gt;TODAY(),"Tanggal di masa depan. ","")&amp;IF(COUNTIFS(Transaksi!$A$2:$A$501,Transaksi!$A155,Transaksi!$C$2:$C$501,Transaksi!$C155,Transaksi!$D$2:$D$501,Transaksi!$D155)&gt;1,"Kemungkinan duplikat. ","")))</f>
        <v/>
      </c>
    </row>
    <row r="167" ht="18" customHeight="1">
      <c r="B167" s="21">
        <f>IF(Transaksi!$A156="","",156)</f>
        <v/>
      </c>
      <c r="C167" s="20">
        <f>IF(Transaksi!$A156="","",Transaksi!$A156)</f>
        <v/>
      </c>
      <c r="D167" s="22">
        <f>IF(Transaksi!$A156="","",Transaksi!$C156)</f>
        <v/>
      </c>
      <c r="E167" s="21">
        <f>IF(Transaksi!$A156="","",Transaksi!$D156)</f>
        <v/>
      </c>
      <c r="F167" s="21">
        <f>IF(Transaksi!$A156="","",TRIM(IF(Transaksi!$C156="","Nominal kosong. ","")&amp;IF(N(Transaksi!$C156)&lt;0,"Nominal negatif. ","")&amp;IF(Transaksi!$B156="","Jenis belum diisi. ","")&amp;IF(Transaksi!$E156="","Kategori belum diisi. ","")&amp;IF(Transaksi!$A156&gt;TODAY(),"Tanggal di masa depan. ","")&amp;IF(COUNTIFS(Transaksi!$A$2:$A$501,Transaksi!$A156,Transaksi!$C$2:$C$501,Transaksi!$C156,Transaksi!$D$2:$D$501,Transaksi!$D156)&gt;1,"Kemungkinan duplikat. ","")))</f>
        <v/>
      </c>
    </row>
    <row r="168" ht="18" customHeight="1">
      <c r="B168" s="21">
        <f>IF(Transaksi!$A157="","",157)</f>
        <v/>
      </c>
      <c r="C168" s="20">
        <f>IF(Transaksi!$A157="","",Transaksi!$A157)</f>
        <v/>
      </c>
      <c r="D168" s="22">
        <f>IF(Transaksi!$A157="","",Transaksi!$C157)</f>
        <v/>
      </c>
      <c r="E168" s="21">
        <f>IF(Transaksi!$A157="","",Transaksi!$D157)</f>
        <v/>
      </c>
      <c r="F168" s="21">
        <f>IF(Transaksi!$A157="","",TRIM(IF(Transaksi!$C157="","Nominal kosong. ","")&amp;IF(N(Transaksi!$C157)&lt;0,"Nominal negatif. ","")&amp;IF(Transaksi!$B157="","Jenis belum diisi. ","")&amp;IF(Transaksi!$E157="","Kategori belum diisi. ","")&amp;IF(Transaksi!$A157&gt;TODAY(),"Tanggal di masa depan. ","")&amp;IF(COUNTIFS(Transaksi!$A$2:$A$501,Transaksi!$A157,Transaksi!$C$2:$C$501,Transaksi!$C157,Transaksi!$D$2:$D$501,Transaksi!$D157)&gt;1,"Kemungkinan duplikat. ","")))</f>
        <v/>
      </c>
    </row>
    <row r="169" ht="18" customHeight="1">
      <c r="B169" s="21">
        <f>IF(Transaksi!$A158="","",158)</f>
        <v/>
      </c>
      <c r="C169" s="20">
        <f>IF(Transaksi!$A158="","",Transaksi!$A158)</f>
        <v/>
      </c>
      <c r="D169" s="22">
        <f>IF(Transaksi!$A158="","",Transaksi!$C158)</f>
        <v/>
      </c>
      <c r="E169" s="21">
        <f>IF(Transaksi!$A158="","",Transaksi!$D158)</f>
        <v/>
      </c>
      <c r="F169" s="21">
        <f>IF(Transaksi!$A158="","",TRIM(IF(Transaksi!$C158="","Nominal kosong. ","")&amp;IF(N(Transaksi!$C158)&lt;0,"Nominal negatif. ","")&amp;IF(Transaksi!$B158="","Jenis belum diisi. ","")&amp;IF(Transaksi!$E158="","Kategori belum diisi. ","")&amp;IF(Transaksi!$A158&gt;TODAY(),"Tanggal di masa depan. ","")&amp;IF(COUNTIFS(Transaksi!$A$2:$A$501,Transaksi!$A158,Transaksi!$C$2:$C$501,Transaksi!$C158,Transaksi!$D$2:$D$501,Transaksi!$D158)&gt;1,"Kemungkinan duplikat. ","")))</f>
        <v/>
      </c>
    </row>
    <row r="170" ht="18" customHeight="1">
      <c r="B170" s="21">
        <f>IF(Transaksi!$A159="","",159)</f>
        <v/>
      </c>
      <c r="C170" s="20">
        <f>IF(Transaksi!$A159="","",Transaksi!$A159)</f>
        <v/>
      </c>
      <c r="D170" s="22">
        <f>IF(Transaksi!$A159="","",Transaksi!$C159)</f>
        <v/>
      </c>
      <c r="E170" s="21">
        <f>IF(Transaksi!$A159="","",Transaksi!$D159)</f>
        <v/>
      </c>
      <c r="F170" s="21">
        <f>IF(Transaksi!$A159="","",TRIM(IF(Transaksi!$C159="","Nominal kosong. ","")&amp;IF(N(Transaksi!$C159)&lt;0,"Nominal negatif. ","")&amp;IF(Transaksi!$B159="","Jenis belum diisi. ","")&amp;IF(Transaksi!$E159="","Kategori belum diisi. ","")&amp;IF(Transaksi!$A159&gt;TODAY(),"Tanggal di masa depan. ","")&amp;IF(COUNTIFS(Transaksi!$A$2:$A$501,Transaksi!$A159,Transaksi!$C$2:$C$501,Transaksi!$C159,Transaksi!$D$2:$D$501,Transaksi!$D159)&gt;1,"Kemungkinan duplikat. ","")))</f>
        <v/>
      </c>
    </row>
    <row r="171" ht="18" customHeight="1">
      <c r="B171" s="21">
        <f>IF(Transaksi!$A160="","",160)</f>
        <v/>
      </c>
      <c r="C171" s="20">
        <f>IF(Transaksi!$A160="","",Transaksi!$A160)</f>
        <v/>
      </c>
      <c r="D171" s="22">
        <f>IF(Transaksi!$A160="","",Transaksi!$C160)</f>
        <v/>
      </c>
      <c r="E171" s="21">
        <f>IF(Transaksi!$A160="","",Transaksi!$D160)</f>
        <v/>
      </c>
      <c r="F171" s="21">
        <f>IF(Transaksi!$A160="","",TRIM(IF(Transaksi!$C160="","Nominal kosong. ","")&amp;IF(N(Transaksi!$C160)&lt;0,"Nominal negatif. ","")&amp;IF(Transaksi!$B160="","Jenis belum diisi. ","")&amp;IF(Transaksi!$E160="","Kategori belum diisi. ","")&amp;IF(Transaksi!$A160&gt;TODAY(),"Tanggal di masa depan. ","")&amp;IF(COUNTIFS(Transaksi!$A$2:$A$501,Transaksi!$A160,Transaksi!$C$2:$C$501,Transaksi!$C160,Transaksi!$D$2:$D$501,Transaksi!$D160)&gt;1,"Kemungkinan duplikat. ","")))</f>
        <v/>
      </c>
    </row>
    <row r="172" ht="18" customHeight="1">
      <c r="B172" s="21">
        <f>IF(Transaksi!$A161="","",161)</f>
        <v/>
      </c>
      <c r="C172" s="20">
        <f>IF(Transaksi!$A161="","",Transaksi!$A161)</f>
        <v/>
      </c>
      <c r="D172" s="22">
        <f>IF(Transaksi!$A161="","",Transaksi!$C161)</f>
        <v/>
      </c>
      <c r="E172" s="21">
        <f>IF(Transaksi!$A161="","",Transaksi!$D161)</f>
        <v/>
      </c>
      <c r="F172" s="21">
        <f>IF(Transaksi!$A161="","",TRIM(IF(Transaksi!$C161="","Nominal kosong. ","")&amp;IF(N(Transaksi!$C161)&lt;0,"Nominal negatif. ","")&amp;IF(Transaksi!$B161="","Jenis belum diisi. ","")&amp;IF(Transaksi!$E161="","Kategori belum diisi. ","")&amp;IF(Transaksi!$A161&gt;TODAY(),"Tanggal di masa depan. ","")&amp;IF(COUNTIFS(Transaksi!$A$2:$A$501,Transaksi!$A161,Transaksi!$C$2:$C$501,Transaksi!$C161,Transaksi!$D$2:$D$501,Transaksi!$D161)&gt;1,"Kemungkinan duplikat. ","")))</f>
        <v/>
      </c>
    </row>
    <row r="173" ht="18" customHeight="1">
      <c r="B173" s="21">
        <f>IF(Transaksi!$A162="","",162)</f>
        <v/>
      </c>
      <c r="C173" s="20">
        <f>IF(Transaksi!$A162="","",Transaksi!$A162)</f>
        <v/>
      </c>
      <c r="D173" s="22">
        <f>IF(Transaksi!$A162="","",Transaksi!$C162)</f>
        <v/>
      </c>
      <c r="E173" s="21">
        <f>IF(Transaksi!$A162="","",Transaksi!$D162)</f>
        <v/>
      </c>
      <c r="F173" s="21">
        <f>IF(Transaksi!$A162="","",TRIM(IF(Transaksi!$C162="","Nominal kosong. ","")&amp;IF(N(Transaksi!$C162)&lt;0,"Nominal negatif. ","")&amp;IF(Transaksi!$B162="","Jenis belum diisi. ","")&amp;IF(Transaksi!$E162="","Kategori belum diisi. ","")&amp;IF(Transaksi!$A162&gt;TODAY(),"Tanggal di masa depan. ","")&amp;IF(COUNTIFS(Transaksi!$A$2:$A$501,Transaksi!$A162,Transaksi!$C$2:$C$501,Transaksi!$C162,Transaksi!$D$2:$D$501,Transaksi!$D162)&gt;1,"Kemungkinan duplikat. ","")))</f>
        <v/>
      </c>
    </row>
    <row r="174" ht="18" customHeight="1">
      <c r="B174" s="21">
        <f>IF(Transaksi!$A163="","",163)</f>
        <v/>
      </c>
      <c r="C174" s="20">
        <f>IF(Transaksi!$A163="","",Transaksi!$A163)</f>
        <v/>
      </c>
      <c r="D174" s="22">
        <f>IF(Transaksi!$A163="","",Transaksi!$C163)</f>
        <v/>
      </c>
      <c r="E174" s="21">
        <f>IF(Transaksi!$A163="","",Transaksi!$D163)</f>
        <v/>
      </c>
      <c r="F174" s="21">
        <f>IF(Transaksi!$A163="","",TRIM(IF(Transaksi!$C163="","Nominal kosong. ","")&amp;IF(N(Transaksi!$C163)&lt;0,"Nominal negatif. ","")&amp;IF(Transaksi!$B163="","Jenis belum diisi. ","")&amp;IF(Transaksi!$E163="","Kategori belum diisi. ","")&amp;IF(Transaksi!$A163&gt;TODAY(),"Tanggal di masa depan. ","")&amp;IF(COUNTIFS(Transaksi!$A$2:$A$501,Transaksi!$A163,Transaksi!$C$2:$C$501,Transaksi!$C163,Transaksi!$D$2:$D$501,Transaksi!$D163)&gt;1,"Kemungkinan duplikat. ","")))</f>
        <v/>
      </c>
    </row>
    <row r="175" ht="18" customHeight="1">
      <c r="B175" s="21">
        <f>IF(Transaksi!$A164="","",164)</f>
        <v/>
      </c>
      <c r="C175" s="20">
        <f>IF(Transaksi!$A164="","",Transaksi!$A164)</f>
        <v/>
      </c>
      <c r="D175" s="22">
        <f>IF(Transaksi!$A164="","",Transaksi!$C164)</f>
        <v/>
      </c>
      <c r="E175" s="21">
        <f>IF(Transaksi!$A164="","",Transaksi!$D164)</f>
        <v/>
      </c>
      <c r="F175" s="21">
        <f>IF(Transaksi!$A164="","",TRIM(IF(Transaksi!$C164="","Nominal kosong. ","")&amp;IF(N(Transaksi!$C164)&lt;0,"Nominal negatif. ","")&amp;IF(Transaksi!$B164="","Jenis belum diisi. ","")&amp;IF(Transaksi!$E164="","Kategori belum diisi. ","")&amp;IF(Transaksi!$A164&gt;TODAY(),"Tanggal di masa depan. ","")&amp;IF(COUNTIFS(Transaksi!$A$2:$A$501,Transaksi!$A164,Transaksi!$C$2:$C$501,Transaksi!$C164,Transaksi!$D$2:$D$501,Transaksi!$D164)&gt;1,"Kemungkinan duplikat. ","")))</f>
        <v/>
      </c>
    </row>
    <row r="176" ht="18" customHeight="1">
      <c r="B176" s="21">
        <f>IF(Transaksi!$A165="","",165)</f>
        <v/>
      </c>
      <c r="C176" s="20">
        <f>IF(Transaksi!$A165="","",Transaksi!$A165)</f>
        <v/>
      </c>
      <c r="D176" s="22">
        <f>IF(Transaksi!$A165="","",Transaksi!$C165)</f>
        <v/>
      </c>
      <c r="E176" s="21">
        <f>IF(Transaksi!$A165="","",Transaksi!$D165)</f>
        <v/>
      </c>
      <c r="F176" s="21">
        <f>IF(Transaksi!$A165="","",TRIM(IF(Transaksi!$C165="","Nominal kosong. ","")&amp;IF(N(Transaksi!$C165)&lt;0,"Nominal negatif. ","")&amp;IF(Transaksi!$B165="","Jenis belum diisi. ","")&amp;IF(Transaksi!$E165="","Kategori belum diisi. ","")&amp;IF(Transaksi!$A165&gt;TODAY(),"Tanggal di masa depan. ","")&amp;IF(COUNTIFS(Transaksi!$A$2:$A$501,Transaksi!$A165,Transaksi!$C$2:$C$501,Transaksi!$C165,Transaksi!$D$2:$D$501,Transaksi!$D165)&gt;1,"Kemungkinan duplikat. ","")))</f>
        <v/>
      </c>
    </row>
    <row r="177" ht="18" customHeight="1">
      <c r="B177" s="21">
        <f>IF(Transaksi!$A166="","",166)</f>
        <v/>
      </c>
      <c r="C177" s="20">
        <f>IF(Transaksi!$A166="","",Transaksi!$A166)</f>
        <v/>
      </c>
      <c r="D177" s="22">
        <f>IF(Transaksi!$A166="","",Transaksi!$C166)</f>
        <v/>
      </c>
      <c r="E177" s="21">
        <f>IF(Transaksi!$A166="","",Transaksi!$D166)</f>
        <v/>
      </c>
      <c r="F177" s="21">
        <f>IF(Transaksi!$A166="","",TRIM(IF(Transaksi!$C166="","Nominal kosong. ","")&amp;IF(N(Transaksi!$C166)&lt;0,"Nominal negatif. ","")&amp;IF(Transaksi!$B166="","Jenis belum diisi. ","")&amp;IF(Transaksi!$E166="","Kategori belum diisi. ","")&amp;IF(Transaksi!$A166&gt;TODAY(),"Tanggal di masa depan. ","")&amp;IF(COUNTIFS(Transaksi!$A$2:$A$501,Transaksi!$A166,Transaksi!$C$2:$C$501,Transaksi!$C166,Transaksi!$D$2:$D$501,Transaksi!$D166)&gt;1,"Kemungkinan duplikat. ","")))</f>
        <v/>
      </c>
    </row>
    <row r="178" ht="18" customHeight="1">
      <c r="B178" s="21">
        <f>IF(Transaksi!$A167="","",167)</f>
        <v/>
      </c>
      <c r="C178" s="20">
        <f>IF(Transaksi!$A167="","",Transaksi!$A167)</f>
        <v/>
      </c>
      <c r="D178" s="22">
        <f>IF(Transaksi!$A167="","",Transaksi!$C167)</f>
        <v/>
      </c>
      <c r="E178" s="21">
        <f>IF(Transaksi!$A167="","",Transaksi!$D167)</f>
        <v/>
      </c>
      <c r="F178" s="21">
        <f>IF(Transaksi!$A167="","",TRIM(IF(Transaksi!$C167="","Nominal kosong. ","")&amp;IF(N(Transaksi!$C167)&lt;0,"Nominal negatif. ","")&amp;IF(Transaksi!$B167="","Jenis belum diisi. ","")&amp;IF(Transaksi!$E167="","Kategori belum diisi. ","")&amp;IF(Transaksi!$A167&gt;TODAY(),"Tanggal di masa depan. ","")&amp;IF(COUNTIFS(Transaksi!$A$2:$A$501,Transaksi!$A167,Transaksi!$C$2:$C$501,Transaksi!$C167,Transaksi!$D$2:$D$501,Transaksi!$D167)&gt;1,"Kemungkinan duplikat. ","")))</f>
        <v/>
      </c>
    </row>
    <row r="179" ht="18" customHeight="1">
      <c r="B179" s="21">
        <f>IF(Transaksi!$A168="","",168)</f>
        <v/>
      </c>
      <c r="C179" s="20">
        <f>IF(Transaksi!$A168="","",Transaksi!$A168)</f>
        <v/>
      </c>
      <c r="D179" s="22">
        <f>IF(Transaksi!$A168="","",Transaksi!$C168)</f>
        <v/>
      </c>
      <c r="E179" s="21">
        <f>IF(Transaksi!$A168="","",Transaksi!$D168)</f>
        <v/>
      </c>
      <c r="F179" s="21">
        <f>IF(Transaksi!$A168="","",TRIM(IF(Transaksi!$C168="","Nominal kosong. ","")&amp;IF(N(Transaksi!$C168)&lt;0,"Nominal negatif. ","")&amp;IF(Transaksi!$B168="","Jenis belum diisi. ","")&amp;IF(Transaksi!$E168="","Kategori belum diisi. ","")&amp;IF(Transaksi!$A168&gt;TODAY(),"Tanggal di masa depan. ","")&amp;IF(COUNTIFS(Transaksi!$A$2:$A$501,Transaksi!$A168,Transaksi!$C$2:$C$501,Transaksi!$C168,Transaksi!$D$2:$D$501,Transaksi!$D168)&gt;1,"Kemungkinan duplikat. ","")))</f>
        <v/>
      </c>
    </row>
    <row r="180" ht="18" customHeight="1">
      <c r="B180" s="21">
        <f>IF(Transaksi!$A169="","",169)</f>
        <v/>
      </c>
      <c r="C180" s="20">
        <f>IF(Transaksi!$A169="","",Transaksi!$A169)</f>
        <v/>
      </c>
      <c r="D180" s="22">
        <f>IF(Transaksi!$A169="","",Transaksi!$C169)</f>
        <v/>
      </c>
      <c r="E180" s="21">
        <f>IF(Transaksi!$A169="","",Transaksi!$D169)</f>
        <v/>
      </c>
      <c r="F180" s="21">
        <f>IF(Transaksi!$A169="","",TRIM(IF(Transaksi!$C169="","Nominal kosong. ","")&amp;IF(N(Transaksi!$C169)&lt;0,"Nominal negatif. ","")&amp;IF(Transaksi!$B169="","Jenis belum diisi. ","")&amp;IF(Transaksi!$E169="","Kategori belum diisi. ","")&amp;IF(Transaksi!$A169&gt;TODAY(),"Tanggal di masa depan. ","")&amp;IF(COUNTIFS(Transaksi!$A$2:$A$501,Transaksi!$A169,Transaksi!$C$2:$C$501,Transaksi!$C169,Transaksi!$D$2:$D$501,Transaksi!$D169)&gt;1,"Kemungkinan duplikat. ","")))</f>
        <v/>
      </c>
    </row>
    <row r="181" ht="18" customHeight="1">
      <c r="B181" s="21">
        <f>IF(Transaksi!$A170="","",170)</f>
        <v/>
      </c>
      <c r="C181" s="20">
        <f>IF(Transaksi!$A170="","",Transaksi!$A170)</f>
        <v/>
      </c>
      <c r="D181" s="22">
        <f>IF(Transaksi!$A170="","",Transaksi!$C170)</f>
        <v/>
      </c>
      <c r="E181" s="21">
        <f>IF(Transaksi!$A170="","",Transaksi!$D170)</f>
        <v/>
      </c>
      <c r="F181" s="21">
        <f>IF(Transaksi!$A170="","",TRIM(IF(Transaksi!$C170="","Nominal kosong. ","")&amp;IF(N(Transaksi!$C170)&lt;0,"Nominal negatif. ","")&amp;IF(Transaksi!$B170="","Jenis belum diisi. ","")&amp;IF(Transaksi!$E170="","Kategori belum diisi. ","")&amp;IF(Transaksi!$A170&gt;TODAY(),"Tanggal di masa depan. ","")&amp;IF(COUNTIFS(Transaksi!$A$2:$A$501,Transaksi!$A170,Transaksi!$C$2:$C$501,Transaksi!$C170,Transaksi!$D$2:$D$501,Transaksi!$D170)&gt;1,"Kemungkinan duplikat. ","")))</f>
        <v/>
      </c>
    </row>
    <row r="182" ht="18" customHeight="1">
      <c r="B182" s="21">
        <f>IF(Transaksi!$A171="","",171)</f>
        <v/>
      </c>
      <c r="C182" s="20">
        <f>IF(Transaksi!$A171="","",Transaksi!$A171)</f>
        <v/>
      </c>
      <c r="D182" s="22">
        <f>IF(Transaksi!$A171="","",Transaksi!$C171)</f>
        <v/>
      </c>
      <c r="E182" s="21">
        <f>IF(Transaksi!$A171="","",Transaksi!$D171)</f>
        <v/>
      </c>
      <c r="F182" s="21">
        <f>IF(Transaksi!$A171="","",TRIM(IF(Transaksi!$C171="","Nominal kosong. ","")&amp;IF(N(Transaksi!$C171)&lt;0,"Nominal negatif. ","")&amp;IF(Transaksi!$B171="","Jenis belum diisi. ","")&amp;IF(Transaksi!$E171="","Kategori belum diisi. ","")&amp;IF(Transaksi!$A171&gt;TODAY(),"Tanggal di masa depan. ","")&amp;IF(COUNTIFS(Transaksi!$A$2:$A$501,Transaksi!$A171,Transaksi!$C$2:$C$501,Transaksi!$C171,Transaksi!$D$2:$D$501,Transaksi!$D171)&gt;1,"Kemungkinan duplikat. ","")))</f>
        <v/>
      </c>
    </row>
    <row r="183" ht="18" customHeight="1">
      <c r="B183" s="21">
        <f>IF(Transaksi!$A172="","",172)</f>
        <v/>
      </c>
      <c r="C183" s="20">
        <f>IF(Transaksi!$A172="","",Transaksi!$A172)</f>
        <v/>
      </c>
      <c r="D183" s="22">
        <f>IF(Transaksi!$A172="","",Transaksi!$C172)</f>
        <v/>
      </c>
      <c r="E183" s="21">
        <f>IF(Transaksi!$A172="","",Transaksi!$D172)</f>
        <v/>
      </c>
      <c r="F183" s="21">
        <f>IF(Transaksi!$A172="","",TRIM(IF(Transaksi!$C172="","Nominal kosong. ","")&amp;IF(N(Transaksi!$C172)&lt;0,"Nominal negatif. ","")&amp;IF(Transaksi!$B172="","Jenis belum diisi. ","")&amp;IF(Transaksi!$E172="","Kategori belum diisi. ","")&amp;IF(Transaksi!$A172&gt;TODAY(),"Tanggal di masa depan. ","")&amp;IF(COUNTIFS(Transaksi!$A$2:$A$501,Transaksi!$A172,Transaksi!$C$2:$C$501,Transaksi!$C172,Transaksi!$D$2:$D$501,Transaksi!$D172)&gt;1,"Kemungkinan duplikat. ","")))</f>
        <v/>
      </c>
    </row>
    <row r="184" ht="18" customHeight="1">
      <c r="B184" s="21">
        <f>IF(Transaksi!$A173="","",173)</f>
        <v/>
      </c>
      <c r="C184" s="20">
        <f>IF(Transaksi!$A173="","",Transaksi!$A173)</f>
        <v/>
      </c>
      <c r="D184" s="22">
        <f>IF(Transaksi!$A173="","",Transaksi!$C173)</f>
        <v/>
      </c>
      <c r="E184" s="21">
        <f>IF(Transaksi!$A173="","",Transaksi!$D173)</f>
        <v/>
      </c>
      <c r="F184" s="21">
        <f>IF(Transaksi!$A173="","",TRIM(IF(Transaksi!$C173="","Nominal kosong. ","")&amp;IF(N(Transaksi!$C173)&lt;0,"Nominal negatif. ","")&amp;IF(Transaksi!$B173="","Jenis belum diisi. ","")&amp;IF(Transaksi!$E173="","Kategori belum diisi. ","")&amp;IF(Transaksi!$A173&gt;TODAY(),"Tanggal di masa depan. ","")&amp;IF(COUNTIFS(Transaksi!$A$2:$A$501,Transaksi!$A173,Transaksi!$C$2:$C$501,Transaksi!$C173,Transaksi!$D$2:$D$501,Transaksi!$D173)&gt;1,"Kemungkinan duplikat. ","")))</f>
        <v/>
      </c>
    </row>
    <row r="185" ht="18" customHeight="1">
      <c r="B185" s="21">
        <f>IF(Transaksi!$A174="","",174)</f>
        <v/>
      </c>
      <c r="C185" s="20">
        <f>IF(Transaksi!$A174="","",Transaksi!$A174)</f>
        <v/>
      </c>
      <c r="D185" s="22">
        <f>IF(Transaksi!$A174="","",Transaksi!$C174)</f>
        <v/>
      </c>
      <c r="E185" s="21">
        <f>IF(Transaksi!$A174="","",Transaksi!$D174)</f>
        <v/>
      </c>
      <c r="F185" s="21">
        <f>IF(Transaksi!$A174="","",TRIM(IF(Transaksi!$C174="","Nominal kosong. ","")&amp;IF(N(Transaksi!$C174)&lt;0,"Nominal negatif. ","")&amp;IF(Transaksi!$B174="","Jenis belum diisi. ","")&amp;IF(Transaksi!$E174="","Kategori belum diisi. ","")&amp;IF(Transaksi!$A174&gt;TODAY(),"Tanggal di masa depan. ","")&amp;IF(COUNTIFS(Transaksi!$A$2:$A$501,Transaksi!$A174,Transaksi!$C$2:$C$501,Transaksi!$C174,Transaksi!$D$2:$D$501,Transaksi!$D174)&gt;1,"Kemungkinan duplikat. ","")))</f>
        <v/>
      </c>
    </row>
    <row r="186" ht="18" customHeight="1">
      <c r="B186" s="21">
        <f>IF(Transaksi!$A175="","",175)</f>
        <v/>
      </c>
      <c r="C186" s="20">
        <f>IF(Transaksi!$A175="","",Transaksi!$A175)</f>
        <v/>
      </c>
      <c r="D186" s="22">
        <f>IF(Transaksi!$A175="","",Transaksi!$C175)</f>
        <v/>
      </c>
      <c r="E186" s="21">
        <f>IF(Transaksi!$A175="","",Transaksi!$D175)</f>
        <v/>
      </c>
      <c r="F186" s="21">
        <f>IF(Transaksi!$A175="","",TRIM(IF(Transaksi!$C175="","Nominal kosong. ","")&amp;IF(N(Transaksi!$C175)&lt;0,"Nominal negatif. ","")&amp;IF(Transaksi!$B175="","Jenis belum diisi. ","")&amp;IF(Transaksi!$E175="","Kategori belum diisi. ","")&amp;IF(Transaksi!$A175&gt;TODAY(),"Tanggal di masa depan. ","")&amp;IF(COUNTIFS(Transaksi!$A$2:$A$501,Transaksi!$A175,Transaksi!$C$2:$C$501,Transaksi!$C175,Transaksi!$D$2:$D$501,Transaksi!$D175)&gt;1,"Kemungkinan duplikat. ","")))</f>
        <v/>
      </c>
    </row>
    <row r="187" ht="18" customHeight="1">
      <c r="B187" s="21">
        <f>IF(Transaksi!$A176="","",176)</f>
        <v/>
      </c>
      <c r="C187" s="20">
        <f>IF(Transaksi!$A176="","",Transaksi!$A176)</f>
        <v/>
      </c>
      <c r="D187" s="22">
        <f>IF(Transaksi!$A176="","",Transaksi!$C176)</f>
        <v/>
      </c>
      <c r="E187" s="21">
        <f>IF(Transaksi!$A176="","",Transaksi!$D176)</f>
        <v/>
      </c>
      <c r="F187" s="21">
        <f>IF(Transaksi!$A176="","",TRIM(IF(Transaksi!$C176="","Nominal kosong. ","")&amp;IF(N(Transaksi!$C176)&lt;0,"Nominal negatif. ","")&amp;IF(Transaksi!$B176="","Jenis belum diisi. ","")&amp;IF(Transaksi!$E176="","Kategori belum diisi. ","")&amp;IF(Transaksi!$A176&gt;TODAY(),"Tanggal di masa depan. ","")&amp;IF(COUNTIFS(Transaksi!$A$2:$A$501,Transaksi!$A176,Transaksi!$C$2:$C$501,Transaksi!$C176,Transaksi!$D$2:$D$501,Transaksi!$D176)&gt;1,"Kemungkinan duplikat. ","")))</f>
        <v/>
      </c>
    </row>
    <row r="188" ht="18" customHeight="1">
      <c r="B188" s="21">
        <f>IF(Transaksi!$A177="","",177)</f>
        <v/>
      </c>
      <c r="C188" s="20">
        <f>IF(Transaksi!$A177="","",Transaksi!$A177)</f>
        <v/>
      </c>
      <c r="D188" s="22">
        <f>IF(Transaksi!$A177="","",Transaksi!$C177)</f>
        <v/>
      </c>
      <c r="E188" s="21">
        <f>IF(Transaksi!$A177="","",Transaksi!$D177)</f>
        <v/>
      </c>
      <c r="F188" s="21">
        <f>IF(Transaksi!$A177="","",TRIM(IF(Transaksi!$C177="","Nominal kosong. ","")&amp;IF(N(Transaksi!$C177)&lt;0,"Nominal negatif. ","")&amp;IF(Transaksi!$B177="","Jenis belum diisi. ","")&amp;IF(Transaksi!$E177="","Kategori belum diisi. ","")&amp;IF(Transaksi!$A177&gt;TODAY(),"Tanggal di masa depan. ","")&amp;IF(COUNTIFS(Transaksi!$A$2:$A$501,Transaksi!$A177,Transaksi!$C$2:$C$501,Transaksi!$C177,Transaksi!$D$2:$D$501,Transaksi!$D177)&gt;1,"Kemungkinan duplikat. ","")))</f>
        <v/>
      </c>
    </row>
    <row r="189" ht="18" customHeight="1">
      <c r="B189" s="21">
        <f>IF(Transaksi!$A178="","",178)</f>
        <v/>
      </c>
      <c r="C189" s="20">
        <f>IF(Transaksi!$A178="","",Transaksi!$A178)</f>
        <v/>
      </c>
      <c r="D189" s="22">
        <f>IF(Transaksi!$A178="","",Transaksi!$C178)</f>
        <v/>
      </c>
      <c r="E189" s="21">
        <f>IF(Transaksi!$A178="","",Transaksi!$D178)</f>
        <v/>
      </c>
      <c r="F189" s="21">
        <f>IF(Transaksi!$A178="","",TRIM(IF(Transaksi!$C178="","Nominal kosong. ","")&amp;IF(N(Transaksi!$C178)&lt;0,"Nominal negatif. ","")&amp;IF(Transaksi!$B178="","Jenis belum diisi. ","")&amp;IF(Transaksi!$E178="","Kategori belum diisi. ","")&amp;IF(Transaksi!$A178&gt;TODAY(),"Tanggal di masa depan. ","")&amp;IF(COUNTIFS(Transaksi!$A$2:$A$501,Transaksi!$A178,Transaksi!$C$2:$C$501,Transaksi!$C178,Transaksi!$D$2:$D$501,Transaksi!$D178)&gt;1,"Kemungkinan duplikat. ","")))</f>
        <v/>
      </c>
    </row>
    <row r="190" ht="18" customHeight="1">
      <c r="B190" s="21">
        <f>IF(Transaksi!$A179="","",179)</f>
        <v/>
      </c>
      <c r="C190" s="20">
        <f>IF(Transaksi!$A179="","",Transaksi!$A179)</f>
        <v/>
      </c>
      <c r="D190" s="22">
        <f>IF(Transaksi!$A179="","",Transaksi!$C179)</f>
        <v/>
      </c>
      <c r="E190" s="21">
        <f>IF(Transaksi!$A179="","",Transaksi!$D179)</f>
        <v/>
      </c>
      <c r="F190" s="21">
        <f>IF(Transaksi!$A179="","",TRIM(IF(Transaksi!$C179="","Nominal kosong. ","")&amp;IF(N(Transaksi!$C179)&lt;0,"Nominal negatif. ","")&amp;IF(Transaksi!$B179="","Jenis belum diisi. ","")&amp;IF(Transaksi!$E179="","Kategori belum diisi. ","")&amp;IF(Transaksi!$A179&gt;TODAY(),"Tanggal di masa depan. ","")&amp;IF(COUNTIFS(Transaksi!$A$2:$A$501,Transaksi!$A179,Transaksi!$C$2:$C$501,Transaksi!$C179,Transaksi!$D$2:$D$501,Transaksi!$D179)&gt;1,"Kemungkinan duplikat. ","")))</f>
        <v/>
      </c>
    </row>
    <row r="191" ht="18" customHeight="1">
      <c r="B191" s="21">
        <f>IF(Transaksi!$A180="","",180)</f>
        <v/>
      </c>
      <c r="C191" s="20">
        <f>IF(Transaksi!$A180="","",Transaksi!$A180)</f>
        <v/>
      </c>
      <c r="D191" s="22">
        <f>IF(Transaksi!$A180="","",Transaksi!$C180)</f>
        <v/>
      </c>
      <c r="E191" s="21">
        <f>IF(Transaksi!$A180="","",Transaksi!$D180)</f>
        <v/>
      </c>
      <c r="F191" s="21">
        <f>IF(Transaksi!$A180="","",TRIM(IF(Transaksi!$C180="","Nominal kosong. ","")&amp;IF(N(Transaksi!$C180)&lt;0,"Nominal negatif. ","")&amp;IF(Transaksi!$B180="","Jenis belum diisi. ","")&amp;IF(Transaksi!$E180="","Kategori belum diisi. ","")&amp;IF(Transaksi!$A180&gt;TODAY(),"Tanggal di masa depan. ","")&amp;IF(COUNTIFS(Transaksi!$A$2:$A$501,Transaksi!$A180,Transaksi!$C$2:$C$501,Transaksi!$C180,Transaksi!$D$2:$D$501,Transaksi!$D180)&gt;1,"Kemungkinan duplikat. ","")))</f>
        <v/>
      </c>
    </row>
    <row r="192" ht="18" customHeight="1">
      <c r="B192" s="21">
        <f>IF(Transaksi!$A181="","",181)</f>
        <v/>
      </c>
      <c r="C192" s="20">
        <f>IF(Transaksi!$A181="","",Transaksi!$A181)</f>
        <v/>
      </c>
      <c r="D192" s="22">
        <f>IF(Transaksi!$A181="","",Transaksi!$C181)</f>
        <v/>
      </c>
      <c r="E192" s="21">
        <f>IF(Transaksi!$A181="","",Transaksi!$D181)</f>
        <v/>
      </c>
      <c r="F192" s="21">
        <f>IF(Transaksi!$A181="","",TRIM(IF(Transaksi!$C181="","Nominal kosong. ","")&amp;IF(N(Transaksi!$C181)&lt;0,"Nominal negatif. ","")&amp;IF(Transaksi!$B181="","Jenis belum diisi. ","")&amp;IF(Transaksi!$E181="","Kategori belum diisi. ","")&amp;IF(Transaksi!$A181&gt;TODAY(),"Tanggal di masa depan. ","")&amp;IF(COUNTIFS(Transaksi!$A$2:$A$501,Transaksi!$A181,Transaksi!$C$2:$C$501,Transaksi!$C181,Transaksi!$D$2:$D$501,Transaksi!$D181)&gt;1,"Kemungkinan duplikat. ","")))</f>
        <v/>
      </c>
    </row>
    <row r="193" ht="18" customHeight="1">
      <c r="B193" s="21">
        <f>IF(Transaksi!$A182="","",182)</f>
        <v/>
      </c>
      <c r="C193" s="20">
        <f>IF(Transaksi!$A182="","",Transaksi!$A182)</f>
        <v/>
      </c>
      <c r="D193" s="22">
        <f>IF(Transaksi!$A182="","",Transaksi!$C182)</f>
        <v/>
      </c>
      <c r="E193" s="21">
        <f>IF(Transaksi!$A182="","",Transaksi!$D182)</f>
        <v/>
      </c>
      <c r="F193" s="21">
        <f>IF(Transaksi!$A182="","",TRIM(IF(Transaksi!$C182="","Nominal kosong. ","")&amp;IF(N(Transaksi!$C182)&lt;0,"Nominal negatif. ","")&amp;IF(Transaksi!$B182="","Jenis belum diisi. ","")&amp;IF(Transaksi!$E182="","Kategori belum diisi. ","")&amp;IF(Transaksi!$A182&gt;TODAY(),"Tanggal di masa depan. ","")&amp;IF(COUNTIFS(Transaksi!$A$2:$A$501,Transaksi!$A182,Transaksi!$C$2:$C$501,Transaksi!$C182,Transaksi!$D$2:$D$501,Transaksi!$D182)&gt;1,"Kemungkinan duplikat. ","")))</f>
        <v/>
      </c>
    </row>
    <row r="194" ht="18" customHeight="1">
      <c r="B194" s="21">
        <f>IF(Transaksi!$A183="","",183)</f>
        <v/>
      </c>
      <c r="C194" s="20">
        <f>IF(Transaksi!$A183="","",Transaksi!$A183)</f>
        <v/>
      </c>
      <c r="D194" s="22">
        <f>IF(Transaksi!$A183="","",Transaksi!$C183)</f>
        <v/>
      </c>
      <c r="E194" s="21">
        <f>IF(Transaksi!$A183="","",Transaksi!$D183)</f>
        <v/>
      </c>
      <c r="F194" s="21">
        <f>IF(Transaksi!$A183="","",TRIM(IF(Transaksi!$C183="","Nominal kosong. ","")&amp;IF(N(Transaksi!$C183)&lt;0,"Nominal negatif. ","")&amp;IF(Transaksi!$B183="","Jenis belum diisi. ","")&amp;IF(Transaksi!$E183="","Kategori belum diisi. ","")&amp;IF(Transaksi!$A183&gt;TODAY(),"Tanggal di masa depan. ","")&amp;IF(COUNTIFS(Transaksi!$A$2:$A$501,Transaksi!$A183,Transaksi!$C$2:$C$501,Transaksi!$C183,Transaksi!$D$2:$D$501,Transaksi!$D183)&gt;1,"Kemungkinan duplikat. ","")))</f>
        <v/>
      </c>
    </row>
    <row r="195" ht="18" customHeight="1">
      <c r="B195" s="21">
        <f>IF(Transaksi!$A184="","",184)</f>
        <v/>
      </c>
      <c r="C195" s="20">
        <f>IF(Transaksi!$A184="","",Transaksi!$A184)</f>
        <v/>
      </c>
      <c r="D195" s="22">
        <f>IF(Transaksi!$A184="","",Transaksi!$C184)</f>
        <v/>
      </c>
      <c r="E195" s="21">
        <f>IF(Transaksi!$A184="","",Transaksi!$D184)</f>
        <v/>
      </c>
      <c r="F195" s="21">
        <f>IF(Transaksi!$A184="","",TRIM(IF(Transaksi!$C184="","Nominal kosong. ","")&amp;IF(N(Transaksi!$C184)&lt;0,"Nominal negatif. ","")&amp;IF(Transaksi!$B184="","Jenis belum diisi. ","")&amp;IF(Transaksi!$E184="","Kategori belum diisi. ","")&amp;IF(Transaksi!$A184&gt;TODAY(),"Tanggal di masa depan. ","")&amp;IF(COUNTIFS(Transaksi!$A$2:$A$501,Transaksi!$A184,Transaksi!$C$2:$C$501,Transaksi!$C184,Transaksi!$D$2:$D$501,Transaksi!$D184)&gt;1,"Kemungkinan duplikat. ","")))</f>
        <v/>
      </c>
    </row>
    <row r="196" ht="18" customHeight="1">
      <c r="B196" s="21">
        <f>IF(Transaksi!$A185="","",185)</f>
        <v/>
      </c>
      <c r="C196" s="20">
        <f>IF(Transaksi!$A185="","",Transaksi!$A185)</f>
        <v/>
      </c>
      <c r="D196" s="22">
        <f>IF(Transaksi!$A185="","",Transaksi!$C185)</f>
        <v/>
      </c>
      <c r="E196" s="21">
        <f>IF(Transaksi!$A185="","",Transaksi!$D185)</f>
        <v/>
      </c>
      <c r="F196" s="21">
        <f>IF(Transaksi!$A185="","",TRIM(IF(Transaksi!$C185="","Nominal kosong. ","")&amp;IF(N(Transaksi!$C185)&lt;0,"Nominal negatif. ","")&amp;IF(Transaksi!$B185="","Jenis belum diisi. ","")&amp;IF(Transaksi!$E185="","Kategori belum diisi. ","")&amp;IF(Transaksi!$A185&gt;TODAY(),"Tanggal di masa depan. ","")&amp;IF(COUNTIFS(Transaksi!$A$2:$A$501,Transaksi!$A185,Transaksi!$C$2:$C$501,Transaksi!$C185,Transaksi!$D$2:$D$501,Transaksi!$D185)&gt;1,"Kemungkinan duplikat. ","")))</f>
        <v/>
      </c>
    </row>
    <row r="197" ht="18" customHeight="1">
      <c r="B197" s="21">
        <f>IF(Transaksi!$A186="","",186)</f>
        <v/>
      </c>
      <c r="C197" s="20">
        <f>IF(Transaksi!$A186="","",Transaksi!$A186)</f>
        <v/>
      </c>
      <c r="D197" s="22">
        <f>IF(Transaksi!$A186="","",Transaksi!$C186)</f>
        <v/>
      </c>
      <c r="E197" s="21">
        <f>IF(Transaksi!$A186="","",Transaksi!$D186)</f>
        <v/>
      </c>
      <c r="F197" s="21">
        <f>IF(Transaksi!$A186="","",TRIM(IF(Transaksi!$C186="","Nominal kosong. ","")&amp;IF(N(Transaksi!$C186)&lt;0,"Nominal negatif. ","")&amp;IF(Transaksi!$B186="","Jenis belum diisi. ","")&amp;IF(Transaksi!$E186="","Kategori belum diisi. ","")&amp;IF(Transaksi!$A186&gt;TODAY(),"Tanggal di masa depan. ","")&amp;IF(COUNTIFS(Transaksi!$A$2:$A$501,Transaksi!$A186,Transaksi!$C$2:$C$501,Transaksi!$C186,Transaksi!$D$2:$D$501,Transaksi!$D186)&gt;1,"Kemungkinan duplikat. ","")))</f>
        <v/>
      </c>
    </row>
    <row r="198" ht="18" customHeight="1">
      <c r="B198" s="21">
        <f>IF(Transaksi!$A187="","",187)</f>
        <v/>
      </c>
      <c r="C198" s="20">
        <f>IF(Transaksi!$A187="","",Transaksi!$A187)</f>
        <v/>
      </c>
      <c r="D198" s="22">
        <f>IF(Transaksi!$A187="","",Transaksi!$C187)</f>
        <v/>
      </c>
      <c r="E198" s="21">
        <f>IF(Transaksi!$A187="","",Transaksi!$D187)</f>
        <v/>
      </c>
      <c r="F198" s="21">
        <f>IF(Transaksi!$A187="","",TRIM(IF(Transaksi!$C187="","Nominal kosong. ","")&amp;IF(N(Transaksi!$C187)&lt;0,"Nominal negatif. ","")&amp;IF(Transaksi!$B187="","Jenis belum diisi. ","")&amp;IF(Transaksi!$E187="","Kategori belum diisi. ","")&amp;IF(Transaksi!$A187&gt;TODAY(),"Tanggal di masa depan. ","")&amp;IF(COUNTIFS(Transaksi!$A$2:$A$501,Transaksi!$A187,Transaksi!$C$2:$C$501,Transaksi!$C187,Transaksi!$D$2:$D$501,Transaksi!$D187)&gt;1,"Kemungkinan duplikat. ","")))</f>
        <v/>
      </c>
    </row>
    <row r="199" ht="18" customHeight="1">
      <c r="B199" s="21">
        <f>IF(Transaksi!$A188="","",188)</f>
        <v/>
      </c>
      <c r="C199" s="20">
        <f>IF(Transaksi!$A188="","",Transaksi!$A188)</f>
        <v/>
      </c>
      <c r="D199" s="22">
        <f>IF(Transaksi!$A188="","",Transaksi!$C188)</f>
        <v/>
      </c>
      <c r="E199" s="21">
        <f>IF(Transaksi!$A188="","",Transaksi!$D188)</f>
        <v/>
      </c>
      <c r="F199" s="21">
        <f>IF(Transaksi!$A188="","",TRIM(IF(Transaksi!$C188="","Nominal kosong. ","")&amp;IF(N(Transaksi!$C188)&lt;0,"Nominal negatif. ","")&amp;IF(Transaksi!$B188="","Jenis belum diisi. ","")&amp;IF(Transaksi!$E188="","Kategori belum diisi. ","")&amp;IF(Transaksi!$A188&gt;TODAY(),"Tanggal di masa depan. ","")&amp;IF(COUNTIFS(Transaksi!$A$2:$A$501,Transaksi!$A188,Transaksi!$C$2:$C$501,Transaksi!$C188,Transaksi!$D$2:$D$501,Transaksi!$D188)&gt;1,"Kemungkinan duplikat. ","")))</f>
        <v/>
      </c>
    </row>
    <row r="200" ht="18" customHeight="1">
      <c r="B200" s="21">
        <f>IF(Transaksi!$A189="","",189)</f>
        <v/>
      </c>
      <c r="C200" s="20">
        <f>IF(Transaksi!$A189="","",Transaksi!$A189)</f>
        <v/>
      </c>
      <c r="D200" s="22">
        <f>IF(Transaksi!$A189="","",Transaksi!$C189)</f>
        <v/>
      </c>
      <c r="E200" s="21">
        <f>IF(Transaksi!$A189="","",Transaksi!$D189)</f>
        <v/>
      </c>
      <c r="F200" s="21">
        <f>IF(Transaksi!$A189="","",TRIM(IF(Transaksi!$C189="","Nominal kosong. ","")&amp;IF(N(Transaksi!$C189)&lt;0,"Nominal negatif. ","")&amp;IF(Transaksi!$B189="","Jenis belum diisi. ","")&amp;IF(Transaksi!$E189="","Kategori belum diisi. ","")&amp;IF(Transaksi!$A189&gt;TODAY(),"Tanggal di masa depan. ","")&amp;IF(COUNTIFS(Transaksi!$A$2:$A$501,Transaksi!$A189,Transaksi!$C$2:$C$501,Transaksi!$C189,Transaksi!$D$2:$D$501,Transaksi!$D189)&gt;1,"Kemungkinan duplikat. ","")))</f>
        <v/>
      </c>
    </row>
    <row r="201" ht="18" customHeight="1">
      <c r="B201" s="21">
        <f>IF(Transaksi!$A190="","",190)</f>
        <v/>
      </c>
      <c r="C201" s="20">
        <f>IF(Transaksi!$A190="","",Transaksi!$A190)</f>
        <v/>
      </c>
      <c r="D201" s="22">
        <f>IF(Transaksi!$A190="","",Transaksi!$C190)</f>
        <v/>
      </c>
      <c r="E201" s="21">
        <f>IF(Transaksi!$A190="","",Transaksi!$D190)</f>
        <v/>
      </c>
      <c r="F201" s="21">
        <f>IF(Transaksi!$A190="","",TRIM(IF(Transaksi!$C190="","Nominal kosong. ","")&amp;IF(N(Transaksi!$C190)&lt;0,"Nominal negatif. ","")&amp;IF(Transaksi!$B190="","Jenis belum diisi. ","")&amp;IF(Transaksi!$E190="","Kategori belum diisi. ","")&amp;IF(Transaksi!$A190&gt;TODAY(),"Tanggal di masa depan. ","")&amp;IF(COUNTIFS(Transaksi!$A$2:$A$501,Transaksi!$A190,Transaksi!$C$2:$C$501,Transaksi!$C190,Transaksi!$D$2:$D$501,Transaksi!$D190)&gt;1,"Kemungkinan duplikat. ","")))</f>
        <v/>
      </c>
    </row>
    <row r="202" ht="18" customHeight="1">
      <c r="B202" s="21">
        <f>IF(Transaksi!$A191="","",191)</f>
        <v/>
      </c>
      <c r="C202" s="20">
        <f>IF(Transaksi!$A191="","",Transaksi!$A191)</f>
        <v/>
      </c>
      <c r="D202" s="22">
        <f>IF(Transaksi!$A191="","",Transaksi!$C191)</f>
        <v/>
      </c>
      <c r="E202" s="21">
        <f>IF(Transaksi!$A191="","",Transaksi!$D191)</f>
        <v/>
      </c>
      <c r="F202" s="21">
        <f>IF(Transaksi!$A191="","",TRIM(IF(Transaksi!$C191="","Nominal kosong. ","")&amp;IF(N(Transaksi!$C191)&lt;0,"Nominal negatif. ","")&amp;IF(Transaksi!$B191="","Jenis belum diisi. ","")&amp;IF(Transaksi!$E191="","Kategori belum diisi. ","")&amp;IF(Transaksi!$A191&gt;TODAY(),"Tanggal di masa depan. ","")&amp;IF(COUNTIFS(Transaksi!$A$2:$A$501,Transaksi!$A191,Transaksi!$C$2:$C$501,Transaksi!$C191,Transaksi!$D$2:$D$501,Transaksi!$D191)&gt;1,"Kemungkinan duplikat. ","")))</f>
        <v/>
      </c>
    </row>
    <row r="203" ht="18" customHeight="1">
      <c r="B203" s="21">
        <f>IF(Transaksi!$A192="","",192)</f>
        <v/>
      </c>
      <c r="C203" s="20">
        <f>IF(Transaksi!$A192="","",Transaksi!$A192)</f>
        <v/>
      </c>
      <c r="D203" s="22">
        <f>IF(Transaksi!$A192="","",Transaksi!$C192)</f>
        <v/>
      </c>
      <c r="E203" s="21">
        <f>IF(Transaksi!$A192="","",Transaksi!$D192)</f>
        <v/>
      </c>
      <c r="F203" s="21">
        <f>IF(Transaksi!$A192="","",TRIM(IF(Transaksi!$C192="","Nominal kosong. ","")&amp;IF(N(Transaksi!$C192)&lt;0,"Nominal negatif. ","")&amp;IF(Transaksi!$B192="","Jenis belum diisi. ","")&amp;IF(Transaksi!$E192="","Kategori belum diisi. ","")&amp;IF(Transaksi!$A192&gt;TODAY(),"Tanggal di masa depan. ","")&amp;IF(COUNTIFS(Transaksi!$A$2:$A$501,Transaksi!$A192,Transaksi!$C$2:$C$501,Transaksi!$C192,Transaksi!$D$2:$D$501,Transaksi!$D192)&gt;1,"Kemungkinan duplikat. ","")))</f>
        <v/>
      </c>
    </row>
    <row r="204" ht="18" customHeight="1">
      <c r="B204" s="21">
        <f>IF(Transaksi!$A193="","",193)</f>
        <v/>
      </c>
      <c r="C204" s="20">
        <f>IF(Transaksi!$A193="","",Transaksi!$A193)</f>
        <v/>
      </c>
      <c r="D204" s="22">
        <f>IF(Transaksi!$A193="","",Transaksi!$C193)</f>
        <v/>
      </c>
      <c r="E204" s="21">
        <f>IF(Transaksi!$A193="","",Transaksi!$D193)</f>
        <v/>
      </c>
      <c r="F204" s="21">
        <f>IF(Transaksi!$A193="","",TRIM(IF(Transaksi!$C193="","Nominal kosong. ","")&amp;IF(N(Transaksi!$C193)&lt;0,"Nominal negatif. ","")&amp;IF(Transaksi!$B193="","Jenis belum diisi. ","")&amp;IF(Transaksi!$E193="","Kategori belum diisi. ","")&amp;IF(Transaksi!$A193&gt;TODAY(),"Tanggal di masa depan. ","")&amp;IF(COUNTIFS(Transaksi!$A$2:$A$501,Transaksi!$A193,Transaksi!$C$2:$C$501,Transaksi!$C193,Transaksi!$D$2:$D$501,Transaksi!$D193)&gt;1,"Kemungkinan duplikat. ","")))</f>
        <v/>
      </c>
    </row>
    <row r="205" ht="18" customHeight="1">
      <c r="B205" s="21">
        <f>IF(Transaksi!$A194="","",194)</f>
        <v/>
      </c>
      <c r="C205" s="20">
        <f>IF(Transaksi!$A194="","",Transaksi!$A194)</f>
        <v/>
      </c>
      <c r="D205" s="22">
        <f>IF(Transaksi!$A194="","",Transaksi!$C194)</f>
        <v/>
      </c>
      <c r="E205" s="21">
        <f>IF(Transaksi!$A194="","",Transaksi!$D194)</f>
        <v/>
      </c>
      <c r="F205" s="21">
        <f>IF(Transaksi!$A194="","",TRIM(IF(Transaksi!$C194="","Nominal kosong. ","")&amp;IF(N(Transaksi!$C194)&lt;0,"Nominal negatif. ","")&amp;IF(Transaksi!$B194="","Jenis belum diisi. ","")&amp;IF(Transaksi!$E194="","Kategori belum diisi. ","")&amp;IF(Transaksi!$A194&gt;TODAY(),"Tanggal di masa depan. ","")&amp;IF(COUNTIFS(Transaksi!$A$2:$A$501,Transaksi!$A194,Transaksi!$C$2:$C$501,Transaksi!$C194,Transaksi!$D$2:$D$501,Transaksi!$D194)&gt;1,"Kemungkinan duplikat. ","")))</f>
        <v/>
      </c>
    </row>
    <row r="206" ht="18" customHeight="1">
      <c r="B206" s="21">
        <f>IF(Transaksi!$A195="","",195)</f>
        <v/>
      </c>
      <c r="C206" s="20">
        <f>IF(Transaksi!$A195="","",Transaksi!$A195)</f>
        <v/>
      </c>
      <c r="D206" s="22">
        <f>IF(Transaksi!$A195="","",Transaksi!$C195)</f>
        <v/>
      </c>
      <c r="E206" s="21">
        <f>IF(Transaksi!$A195="","",Transaksi!$D195)</f>
        <v/>
      </c>
      <c r="F206" s="21">
        <f>IF(Transaksi!$A195="","",TRIM(IF(Transaksi!$C195="","Nominal kosong. ","")&amp;IF(N(Transaksi!$C195)&lt;0,"Nominal negatif. ","")&amp;IF(Transaksi!$B195="","Jenis belum diisi. ","")&amp;IF(Transaksi!$E195="","Kategori belum diisi. ","")&amp;IF(Transaksi!$A195&gt;TODAY(),"Tanggal di masa depan. ","")&amp;IF(COUNTIFS(Transaksi!$A$2:$A$501,Transaksi!$A195,Transaksi!$C$2:$C$501,Transaksi!$C195,Transaksi!$D$2:$D$501,Transaksi!$D195)&gt;1,"Kemungkinan duplikat. ","")))</f>
        <v/>
      </c>
    </row>
    <row r="207" ht="18" customHeight="1">
      <c r="B207" s="21">
        <f>IF(Transaksi!$A196="","",196)</f>
        <v/>
      </c>
      <c r="C207" s="20">
        <f>IF(Transaksi!$A196="","",Transaksi!$A196)</f>
        <v/>
      </c>
      <c r="D207" s="22">
        <f>IF(Transaksi!$A196="","",Transaksi!$C196)</f>
        <v/>
      </c>
      <c r="E207" s="21">
        <f>IF(Transaksi!$A196="","",Transaksi!$D196)</f>
        <v/>
      </c>
      <c r="F207" s="21">
        <f>IF(Transaksi!$A196="","",TRIM(IF(Transaksi!$C196="","Nominal kosong. ","")&amp;IF(N(Transaksi!$C196)&lt;0,"Nominal negatif. ","")&amp;IF(Transaksi!$B196="","Jenis belum diisi. ","")&amp;IF(Transaksi!$E196="","Kategori belum diisi. ","")&amp;IF(Transaksi!$A196&gt;TODAY(),"Tanggal di masa depan. ","")&amp;IF(COUNTIFS(Transaksi!$A$2:$A$501,Transaksi!$A196,Transaksi!$C$2:$C$501,Transaksi!$C196,Transaksi!$D$2:$D$501,Transaksi!$D196)&gt;1,"Kemungkinan duplikat. ","")))</f>
        <v/>
      </c>
    </row>
    <row r="208" ht="18" customHeight="1">
      <c r="B208" s="21">
        <f>IF(Transaksi!$A197="","",197)</f>
        <v/>
      </c>
      <c r="C208" s="20">
        <f>IF(Transaksi!$A197="","",Transaksi!$A197)</f>
        <v/>
      </c>
      <c r="D208" s="22">
        <f>IF(Transaksi!$A197="","",Transaksi!$C197)</f>
        <v/>
      </c>
      <c r="E208" s="21">
        <f>IF(Transaksi!$A197="","",Transaksi!$D197)</f>
        <v/>
      </c>
      <c r="F208" s="21">
        <f>IF(Transaksi!$A197="","",TRIM(IF(Transaksi!$C197="","Nominal kosong. ","")&amp;IF(N(Transaksi!$C197)&lt;0,"Nominal negatif. ","")&amp;IF(Transaksi!$B197="","Jenis belum diisi. ","")&amp;IF(Transaksi!$E197="","Kategori belum diisi. ","")&amp;IF(Transaksi!$A197&gt;TODAY(),"Tanggal di masa depan. ","")&amp;IF(COUNTIFS(Transaksi!$A$2:$A$501,Transaksi!$A197,Transaksi!$C$2:$C$501,Transaksi!$C197,Transaksi!$D$2:$D$501,Transaksi!$D197)&gt;1,"Kemungkinan duplikat. ","")))</f>
        <v/>
      </c>
    </row>
    <row r="209" ht="18" customHeight="1">
      <c r="B209" s="21">
        <f>IF(Transaksi!$A198="","",198)</f>
        <v/>
      </c>
      <c r="C209" s="20">
        <f>IF(Transaksi!$A198="","",Transaksi!$A198)</f>
        <v/>
      </c>
      <c r="D209" s="22">
        <f>IF(Transaksi!$A198="","",Transaksi!$C198)</f>
        <v/>
      </c>
      <c r="E209" s="21">
        <f>IF(Transaksi!$A198="","",Transaksi!$D198)</f>
        <v/>
      </c>
      <c r="F209" s="21">
        <f>IF(Transaksi!$A198="","",TRIM(IF(Transaksi!$C198="","Nominal kosong. ","")&amp;IF(N(Transaksi!$C198)&lt;0,"Nominal negatif. ","")&amp;IF(Transaksi!$B198="","Jenis belum diisi. ","")&amp;IF(Transaksi!$E198="","Kategori belum diisi. ","")&amp;IF(Transaksi!$A198&gt;TODAY(),"Tanggal di masa depan. ","")&amp;IF(COUNTIFS(Transaksi!$A$2:$A$501,Transaksi!$A198,Transaksi!$C$2:$C$501,Transaksi!$C198,Transaksi!$D$2:$D$501,Transaksi!$D198)&gt;1,"Kemungkinan duplikat. ","")))</f>
        <v/>
      </c>
    </row>
    <row r="210" ht="18" customHeight="1">
      <c r="B210" s="21">
        <f>IF(Transaksi!$A199="","",199)</f>
        <v/>
      </c>
      <c r="C210" s="20">
        <f>IF(Transaksi!$A199="","",Transaksi!$A199)</f>
        <v/>
      </c>
      <c r="D210" s="22">
        <f>IF(Transaksi!$A199="","",Transaksi!$C199)</f>
        <v/>
      </c>
      <c r="E210" s="21">
        <f>IF(Transaksi!$A199="","",Transaksi!$D199)</f>
        <v/>
      </c>
      <c r="F210" s="21">
        <f>IF(Transaksi!$A199="","",TRIM(IF(Transaksi!$C199="","Nominal kosong. ","")&amp;IF(N(Transaksi!$C199)&lt;0,"Nominal negatif. ","")&amp;IF(Transaksi!$B199="","Jenis belum diisi. ","")&amp;IF(Transaksi!$E199="","Kategori belum diisi. ","")&amp;IF(Transaksi!$A199&gt;TODAY(),"Tanggal di masa depan. ","")&amp;IF(COUNTIFS(Transaksi!$A$2:$A$501,Transaksi!$A199,Transaksi!$C$2:$C$501,Transaksi!$C199,Transaksi!$D$2:$D$501,Transaksi!$D199)&gt;1,"Kemungkinan duplikat. ","")))</f>
        <v/>
      </c>
    </row>
    <row r="211" ht="18" customHeight="1">
      <c r="B211" s="21">
        <f>IF(Transaksi!$A200="","",200)</f>
        <v/>
      </c>
      <c r="C211" s="20">
        <f>IF(Transaksi!$A200="","",Transaksi!$A200)</f>
        <v/>
      </c>
      <c r="D211" s="22">
        <f>IF(Transaksi!$A200="","",Transaksi!$C200)</f>
        <v/>
      </c>
      <c r="E211" s="21">
        <f>IF(Transaksi!$A200="","",Transaksi!$D200)</f>
        <v/>
      </c>
      <c r="F211" s="21">
        <f>IF(Transaksi!$A200="","",TRIM(IF(Transaksi!$C200="","Nominal kosong. ","")&amp;IF(N(Transaksi!$C200)&lt;0,"Nominal negatif. ","")&amp;IF(Transaksi!$B200="","Jenis belum diisi. ","")&amp;IF(Transaksi!$E200="","Kategori belum diisi. ","")&amp;IF(Transaksi!$A200&gt;TODAY(),"Tanggal di masa depan. ","")&amp;IF(COUNTIFS(Transaksi!$A$2:$A$501,Transaksi!$A200,Transaksi!$C$2:$C$501,Transaksi!$C200,Transaksi!$D$2:$D$501,Transaksi!$D200)&gt;1,"Kemungkinan duplikat. ","")))</f>
        <v/>
      </c>
    </row>
    <row r="212" ht="18" customHeight="1">
      <c r="B212" s="21">
        <f>IF(Transaksi!$A201="","",201)</f>
        <v/>
      </c>
      <c r="C212" s="20">
        <f>IF(Transaksi!$A201="","",Transaksi!$A201)</f>
        <v/>
      </c>
      <c r="D212" s="22">
        <f>IF(Transaksi!$A201="","",Transaksi!$C201)</f>
        <v/>
      </c>
      <c r="E212" s="21">
        <f>IF(Transaksi!$A201="","",Transaksi!$D201)</f>
        <v/>
      </c>
      <c r="F212" s="21">
        <f>IF(Transaksi!$A201="","",TRIM(IF(Transaksi!$C201="","Nominal kosong. ","")&amp;IF(N(Transaksi!$C201)&lt;0,"Nominal negatif. ","")&amp;IF(Transaksi!$B201="","Jenis belum diisi. ","")&amp;IF(Transaksi!$E201="","Kategori belum diisi. ","")&amp;IF(Transaksi!$A201&gt;TODAY(),"Tanggal di masa depan. ","")&amp;IF(COUNTIFS(Transaksi!$A$2:$A$501,Transaksi!$A201,Transaksi!$C$2:$C$501,Transaksi!$C201,Transaksi!$D$2:$D$501,Transaksi!$D201)&gt;1,"Kemungkinan duplikat. ","")))</f>
        <v/>
      </c>
    </row>
    <row r="213" ht="18" customHeight="1">
      <c r="B213" s="21">
        <f>IF(Transaksi!$A202="","",202)</f>
        <v/>
      </c>
      <c r="C213" s="20">
        <f>IF(Transaksi!$A202="","",Transaksi!$A202)</f>
        <v/>
      </c>
      <c r="D213" s="22">
        <f>IF(Transaksi!$A202="","",Transaksi!$C202)</f>
        <v/>
      </c>
      <c r="E213" s="21">
        <f>IF(Transaksi!$A202="","",Transaksi!$D202)</f>
        <v/>
      </c>
      <c r="F213" s="21">
        <f>IF(Transaksi!$A202="","",TRIM(IF(Transaksi!$C202="","Nominal kosong. ","")&amp;IF(N(Transaksi!$C202)&lt;0,"Nominal negatif. ","")&amp;IF(Transaksi!$B202="","Jenis belum diisi. ","")&amp;IF(Transaksi!$E202="","Kategori belum diisi. ","")&amp;IF(Transaksi!$A202&gt;TODAY(),"Tanggal di masa depan. ","")&amp;IF(COUNTIFS(Transaksi!$A$2:$A$501,Transaksi!$A202,Transaksi!$C$2:$C$501,Transaksi!$C202,Transaksi!$D$2:$D$501,Transaksi!$D202)&gt;1,"Kemungkinan duplikat. ","")))</f>
        <v/>
      </c>
    </row>
    <row r="214" ht="18" customHeight="1">
      <c r="B214" s="21">
        <f>IF(Transaksi!$A203="","",203)</f>
        <v/>
      </c>
      <c r="C214" s="20">
        <f>IF(Transaksi!$A203="","",Transaksi!$A203)</f>
        <v/>
      </c>
      <c r="D214" s="22">
        <f>IF(Transaksi!$A203="","",Transaksi!$C203)</f>
        <v/>
      </c>
      <c r="E214" s="21">
        <f>IF(Transaksi!$A203="","",Transaksi!$D203)</f>
        <v/>
      </c>
      <c r="F214" s="21">
        <f>IF(Transaksi!$A203="","",TRIM(IF(Transaksi!$C203="","Nominal kosong. ","")&amp;IF(N(Transaksi!$C203)&lt;0,"Nominal negatif. ","")&amp;IF(Transaksi!$B203="","Jenis belum diisi. ","")&amp;IF(Transaksi!$E203="","Kategori belum diisi. ","")&amp;IF(Transaksi!$A203&gt;TODAY(),"Tanggal di masa depan. ","")&amp;IF(COUNTIFS(Transaksi!$A$2:$A$501,Transaksi!$A203,Transaksi!$C$2:$C$501,Transaksi!$C203,Transaksi!$D$2:$D$501,Transaksi!$D203)&gt;1,"Kemungkinan duplikat. ","")))</f>
        <v/>
      </c>
    </row>
    <row r="215" ht="18" customHeight="1">
      <c r="B215" s="21">
        <f>IF(Transaksi!$A204="","",204)</f>
        <v/>
      </c>
      <c r="C215" s="20">
        <f>IF(Transaksi!$A204="","",Transaksi!$A204)</f>
        <v/>
      </c>
      <c r="D215" s="22">
        <f>IF(Transaksi!$A204="","",Transaksi!$C204)</f>
        <v/>
      </c>
      <c r="E215" s="21">
        <f>IF(Transaksi!$A204="","",Transaksi!$D204)</f>
        <v/>
      </c>
      <c r="F215" s="21">
        <f>IF(Transaksi!$A204="","",TRIM(IF(Transaksi!$C204="","Nominal kosong. ","")&amp;IF(N(Transaksi!$C204)&lt;0,"Nominal negatif. ","")&amp;IF(Transaksi!$B204="","Jenis belum diisi. ","")&amp;IF(Transaksi!$E204="","Kategori belum diisi. ","")&amp;IF(Transaksi!$A204&gt;TODAY(),"Tanggal di masa depan. ","")&amp;IF(COUNTIFS(Transaksi!$A$2:$A$501,Transaksi!$A204,Transaksi!$C$2:$C$501,Transaksi!$C204,Transaksi!$D$2:$D$501,Transaksi!$D204)&gt;1,"Kemungkinan duplikat. ","")))</f>
        <v/>
      </c>
    </row>
    <row r="216" ht="18" customHeight="1">
      <c r="B216" s="21">
        <f>IF(Transaksi!$A205="","",205)</f>
        <v/>
      </c>
      <c r="C216" s="20">
        <f>IF(Transaksi!$A205="","",Transaksi!$A205)</f>
        <v/>
      </c>
      <c r="D216" s="22">
        <f>IF(Transaksi!$A205="","",Transaksi!$C205)</f>
        <v/>
      </c>
      <c r="E216" s="21">
        <f>IF(Transaksi!$A205="","",Transaksi!$D205)</f>
        <v/>
      </c>
      <c r="F216" s="21">
        <f>IF(Transaksi!$A205="","",TRIM(IF(Transaksi!$C205="","Nominal kosong. ","")&amp;IF(N(Transaksi!$C205)&lt;0,"Nominal negatif. ","")&amp;IF(Transaksi!$B205="","Jenis belum diisi. ","")&amp;IF(Transaksi!$E205="","Kategori belum diisi. ","")&amp;IF(Transaksi!$A205&gt;TODAY(),"Tanggal di masa depan. ","")&amp;IF(COUNTIFS(Transaksi!$A$2:$A$501,Transaksi!$A205,Transaksi!$C$2:$C$501,Transaksi!$C205,Transaksi!$D$2:$D$501,Transaksi!$D205)&gt;1,"Kemungkinan duplikat. ","")))</f>
        <v/>
      </c>
    </row>
    <row r="217" ht="18" customHeight="1">
      <c r="B217" s="21">
        <f>IF(Transaksi!$A206="","",206)</f>
        <v/>
      </c>
      <c r="C217" s="20">
        <f>IF(Transaksi!$A206="","",Transaksi!$A206)</f>
        <v/>
      </c>
      <c r="D217" s="22">
        <f>IF(Transaksi!$A206="","",Transaksi!$C206)</f>
        <v/>
      </c>
      <c r="E217" s="21">
        <f>IF(Transaksi!$A206="","",Transaksi!$D206)</f>
        <v/>
      </c>
      <c r="F217" s="21">
        <f>IF(Transaksi!$A206="","",TRIM(IF(Transaksi!$C206="","Nominal kosong. ","")&amp;IF(N(Transaksi!$C206)&lt;0,"Nominal negatif. ","")&amp;IF(Transaksi!$B206="","Jenis belum diisi. ","")&amp;IF(Transaksi!$E206="","Kategori belum diisi. ","")&amp;IF(Transaksi!$A206&gt;TODAY(),"Tanggal di masa depan. ","")&amp;IF(COUNTIFS(Transaksi!$A$2:$A$501,Transaksi!$A206,Transaksi!$C$2:$C$501,Transaksi!$C206,Transaksi!$D$2:$D$501,Transaksi!$D206)&gt;1,"Kemungkinan duplikat. ","")))</f>
        <v/>
      </c>
    </row>
    <row r="218" ht="18" customHeight="1">
      <c r="B218" s="21">
        <f>IF(Transaksi!$A207="","",207)</f>
        <v/>
      </c>
      <c r="C218" s="20">
        <f>IF(Transaksi!$A207="","",Transaksi!$A207)</f>
        <v/>
      </c>
      <c r="D218" s="22">
        <f>IF(Transaksi!$A207="","",Transaksi!$C207)</f>
        <v/>
      </c>
      <c r="E218" s="21">
        <f>IF(Transaksi!$A207="","",Transaksi!$D207)</f>
        <v/>
      </c>
      <c r="F218" s="21">
        <f>IF(Transaksi!$A207="","",TRIM(IF(Transaksi!$C207="","Nominal kosong. ","")&amp;IF(N(Transaksi!$C207)&lt;0,"Nominal negatif. ","")&amp;IF(Transaksi!$B207="","Jenis belum diisi. ","")&amp;IF(Transaksi!$E207="","Kategori belum diisi. ","")&amp;IF(Transaksi!$A207&gt;TODAY(),"Tanggal di masa depan. ","")&amp;IF(COUNTIFS(Transaksi!$A$2:$A$501,Transaksi!$A207,Transaksi!$C$2:$C$501,Transaksi!$C207,Transaksi!$D$2:$D$501,Transaksi!$D207)&gt;1,"Kemungkinan duplikat. ","")))</f>
        <v/>
      </c>
    </row>
    <row r="219" ht="18" customHeight="1">
      <c r="B219" s="21">
        <f>IF(Transaksi!$A208="","",208)</f>
        <v/>
      </c>
      <c r="C219" s="20">
        <f>IF(Transaksi!$A208="","",Transaksi!$A208)</f>
        <v/>
      </c>
      <c r="D219" s="22">
        <f>IF(Transaksi!$A208="","",Transaksi!$C208)</f>
        <v/>
      </c>
      <c r="E219" s="21">
        <f>IF(Transaksi!$A208="","",Transaksi!$D208)</f>
        <v/>
      </c>
      <c r="F219" s="21">
        <f>IF(Transaksi!$A208="","",TRIM(IF(Transaksi!$C208="","Nominal kosong. ","")&amp;IF(N(Transaksi!$C208)&lt;0,"Nominal negatif. ","")&amp;IF(Transaksi!$B208="","Jenis belum diisi. ","")&amp;IF(Transaksi!$E208="","Kategori belum diisi. ","")&amp;IF(Transaksi!$A208&gt;TODAY(),"Tanggal di masa depan. ","")&amp;IF(COUNTIFS(Transaksi!$A$2:$A$501,Transaksi!$A208,Transaksi!$C$2:$C$501,Transaksi!$C208,Transaksi!$D$2:$D$501,Transaksi!$D208)&gt;1,"Kemungkinan duplikat. ","")))</f>
        <v/>
      </c>
    </row>
    <row r="220" ht="18" customHeight="1">
      <c r="B220" s="21">
        <f>IF(Transaksi!$A209="","",209)</f>
        <v/>
      </c>
      <c r="C220" s="20">
        <f>IF(Transaksi!$A209="","",Transaksi!$A209)</f>
        <v/>
      </c>
      <c r="D220" s="22">
        <f>IF(Transaksi!$A209="","",Transaksi!$C209)</f>
        <v/>
      </c>
      <c r="E220" s="21">
        <f>IF(Transaksi!$A209="","",Transaksi!$D209)</f>
        <v/>
      </c>
      <c r="F220" s="21">
        <f>IF(Transaksi!$A209="","",TRIM(IF(Transaksi!$C209="","Nominal kosong. ","")&amp;IF(N(Transaksi!$C209)&lt;0,"Nominal negatif. ","")&amp;IF(Transaksi!$B209="","Jenis belum diisi. ","")&amp;IF(Transaksi!$E209="","Kategori belum diisi. ","")&amp;IF(Transaksi!$A209&gt;TODAY(),"Tanggal di masa depan. ","")&amp;IF(COUNTIFS(Transaksi!$A$2:$A$501,Transaksi!$A209,Transaksi!$C$2:$C$501,Transaksi!$C209,Transaksi!$D$2:$D$501,Transaksi!$D209)&gt;1,"Kemungkinan duplikat. ","")))</f>
        <v/>
      </c>
    </row>
    <row r="221" ht="18" customHeight="1">
      <c r="B221" s="21">
        <f>IF(Transaksi!$A210="","",210)</f>
        <v/>
      </c>
      <c r="C221" s="20">
        <f>IF(Transaksi!$A210="","",Transaksi!$A210)</f>
        <v/>
      </c>
      <c r="D221" s="22">
        <f>IF(Transaksi!$A210="","",Transaksi!$C210)</f>
        <v/>
      </c>
      <c r="E221" s="21">
        <f>IF(Transaksi!$A210="","",Transaksi!$D210)</f>
        <v/>
      </c>
      <c r="F221" s="21">
        <f>IF(Transaksi!$A210="","",TRIM(IF(Transaksi!$C210="","Nominal kosong. ","")&amp;IF(N(Transaksi!$C210)&lt;0,"Nominal negatif. ","")&amp;IF(Transaksi!$B210="","Jenis belum diisi. ","")&amp;IF(Transaksi!$E210="","Kategori belum diisi. ","")&amp;IF(Transaksi!$A210&gt;TODAY(),"Tanggal di masa depan. ","")&amp;IF(COUNTIFS(Transaksi!$A$2:$A$501,Transaksi!$A210,Transaksi!$C$2:$C$501,Transaksi!$C210,Transaksi!$D$2:$D$501,Transaksi!$D210)&gt;1,"Kemungkinan duplikat. ","")))</f>
        <v/>
      </c>
    </row>
    <row r="222" ht="18" customHeight="1">
      <c r="B222" s="21">
        <f>IF(Transaksi!$A211="","",211)</f>
        <v/>
      </c>
      <c r="C222" s="20">
        <f>IF(Transaksi!$A211="","",Transaksi!$A211)</f>
        <v/>
      </c>
      <c r="D222" s="22">
        <f>IF(Transaksi!$A211="","",Transaksi!$C211)</f>
        <v/>
      </c>
      <c r="E222" s="21">
        <f>IF(Transaksi!$A211="","",Transaksi!$D211)</f>
        <v/>
      </c>
      <c r="F222" s="21">
        <f>IF(Transaksi!$A211="","",TRIM(IF(Transaksi!$C211="","Nominal kosong. ","")&amp;IF(N(Transaksi!$C211)&lt;0,"Nominal negatif. ","")&amp;IF(Transaksi!$B211="","Jenis belum diisi. ","")&amp;IF(Transaksi!$E211="","Kategori belum diisi. ","")&amp;IF(Transaksi!$A211&gt;TODAY(),"Tanggal di masa depan. ","")&amp;IF(COUNTIFS(Transaksi!$A$2:$A$501,Transaksi!$A211,Transaksi!$C$2:$C$501,Transaksi!$C211,Transaksi!$D$2:$D$501,Transaksi!$D211)&gt;1,"Kemungkinan duplikat. ","")))</f>
        <v/>
      </c>
    </row>
    <row r="223" ht="18" customHeight="1">
      <c r="B223" s="21">
        <f>IF(Transaksi!$A212="","",212)</f>
        <v/>
      </c>
      <c r="C223" s="20">
        <f>IF(Transaksi!$A212="","",Transaksi!$A212)</f>
        <v/>
      </c>
      <c r="D223" s="22">
        <f>IF(Transaksi!$A212="","",Transaksi!$C212)</f>
        <v/>
      </c>
      <c r="E223" s="21">
        <f>IF(Transaksi!$A212="","",Transaksi!$D212)</f>
        <v/>
      </c>
      <c r="F223" s="21">
        <f>IF(Transaksi!$A212="","",TRIM(IF(Transaksi!$C212="","Nominal kosong. ","")&amp;IF(N(Transaksi!$C212)&lt;0,"Nominal negatif. ","")&amp;IF(Transaksi!$B212="","Jenis belum diisi. ","")&amp;IF(Transaksi!$E212="","Kategori belum diisi. ","")&amp;IF(Transaksi!$A212&gt;TODAY(),"Tanggal di masa depan. ","")&amp;IF(COUNTIFS(Transaksi!$A$2:$A$501,Transaksi!$A212,Transaksi!$C$2:$C$501,Transaksi!$C212,Transaksi!$D$2:$D$501,Transaksi!$D212)&gt;1,"Kemungkinan duplikat. ","")))</f>
        <v/>
      </c>
    </row>
    <row r="224" ht="18" customHeight="1">
      <c r="B224" s="21">
        <f>IF(Transaksi!$A213="","",213)</f>
        <v/>
      </c>
      <c r="C224" s="20">
        <f>IF(Transaksi!$A213="","",Transaksi!$A213)</f>
        <v/>
      </c>
      <c r="D224" s="22">
        <f>IF(Transaksi!$A213="","",Transaksi!$C213)</f>
        <v/>
      </c>
      <c r="E224" s="21">
        <f>IF(Transaksi!$A213="","",Transaksi!$D213)</f>
        <v/>
      </c>
      <c r="F224" s="21">
        <f>IF(Transaksi!$A213="","",TRIM(IF(Transaksi!$C213="","Nominal kosong. ","")&amp;IF(N(Transaksi!$C213)&lt;0,"Nominal negatif. ","")&amp;IF(Transaksi!$B213="","Jenis belum diisi. ","")&amp;IF(Transaksi!$E213="","Kategori belum diisi. ","")&amp;IF(Transaksi!$A213&gt;TODAY(),"Tanggal di masa depan. ","")&amp;IF(COUNTIFS(Transaksi!$A$2:$A$501,Transaksi!$A213,Transaksi!$C$2:$C$501,Transaksi!$C213,Transaksi!$D$2:$D$501,Transaksi!$D213)&gt;1,"Kemungkinan duplikat. ","")))</f>
        <v/>
      </c>
    </row>
    <row r="225" ht="18" customHeight="1">
      <c r="B225" s="21">
        <f>IF(Transaksi!$A214="","",214)</f>
        <v/>
      </c>
      <c r="C225" s="20">
        <f>IF(Transaksi!$A214="","",Transaksi!$A214)</f>
        <v/>
      </c>
      <c r="D225" s="22">
        <f>IF(Transaksi!$A214="","",Transaksi!$C214)</f>
        <v/>
      </c>
      <c r="E225" s="21">
        <f>IF(Transaksi!$A214="","",Transaksi!$D214)</f>
        <v/>
      </c>
      <c r="F225" s="21">
        <f>IF(Transaksi!$A214="","",TRIM(IF(Transaksi!$C214="","Nominal kosong. ","")&amp;IF(N(Transaksi!$C214)&lt;0,"Nominal negatif. ","")&amp;IF(Transaksi!$B214="","Jenis belum diisi. ","")&amp;IF(Transaksi!$E214="","Kategori belum diisi. ","")&amp;IF(Transaksi!$A214&gt;TODAY(),"Tanggal di masa depan. ","")&amp;IF(COUNTIFS(Transaksi!$A$2:$A$501,Transaksi!$A214,Transaksi!$C$2:$C$501,Transaksi!$C214,Transaksi!$D$2:$D$501,Transaksi!$D214)&gt;1,"Kemungkinan duplikat. ","")))</f>
        <v/>
      </c>
    </row>
    <row r="226" ht="18" customHeight="1">
      <c r="B226" s="21">
        <f>IF(Transaksi!$A215="","",215)</f>
        <v/>
      </c>
      <c r="C226" s="20">
        <f>IF(Transaksi!$A215="","",Transaksi!$A215)</f>
        <v/>
      </c>
      <c r="D226" s="22">
        <f>IF(Transaksi!$A215="","",Transaksi!$C215)</f>
        <v/>
      </c>
      <c r="E226" s="21">
        <f>IF(Transaksi!$A215="","",Transaksi!$D215)</f>
        <v/>
      </c>
      <c r="F226" s="21">
        <f>IF(Transaksi!$A215="","",TRIM(IF(Transaksi!$C215="","Nominal kosong. ","")&amp;IF(N(Transaksi!$C215)&lt;0,"Nominal negatif. ","")&amp;IF(Transaksi!$B215="","Jenis belum diisi. ","")&amp;IF(Transaksi!$E215="","Kategori belum diisi. ","")&amp;IF(Transaksi!$A215&gt;TODAY(),"Tanggal di masa depan. ","")&amp;IF(COUNTIFS(Transaksi!$A$2:$A$501,Transaksi!$A215,Transaksi!$C$2:$C$501,Transaksi!$C215,Transaksi!$D$2:$D$501,Transaksi!$D215)&gt;1,"Kemungkinan duplikat. ","")))</f>
        <v/>
      </c>
    </row>
    <row r="227" ht="18" customHeight="1">
      <c r="B227" s="21">
        <f>IF(Transaksi!$A216="","",216)</f>
        <v/>
      </c>
      <c r="C227" s="20">
        <f>IF(Transaksi!$A216="","",Transaksi!$A216)</f>
        <v/>
      </c>
      <c r="D227" s="22">
        <f>IF(Transaksi!$A216="","",Transaksi!$C216)</f>
        <v/>
      </c>
      <c r="E227" s="21">
        <f>IF(Transaksi!$A216="","",Transaksi!$D216)</f>
        <v/>
      </c>
      <c r="F227" s="21">
        <f>IF(Transaksi!$A216="","",TRIM(IF(Transaksi!$C216="","Nominal kosong. ","")&amp;IF(N(Transaksi!$C216)&lt;0,"Nominal negatif. ","")&amp;IF(Transaksi!$B216="","Jenis belum diisi. ","")&amp;IF(Transaksi!$E216="","Kategori belum diisi. ","")&amp;IF(Transaksi!$A216&gt;TODAY(),"Tanggal di masa depan. ","")&amp;IF(COUNTIFS(Transaksi!$A$2:$A$501,Transaksi!$A216,Transaksi!$C$2:$C$501,Transaksi!$C216,Transaksi!$D$2:$D$501,Transaksi!$D216)&gt;1,"Kemungkinan duplikat. ","")))</f>
        <v/>
      </c>
    </row>
    <row r="228" ht="18" customHeight="1">
      <c r="B228" s="21">
        <f>IF(Transaksi!$A217="","",217)</f>
        <v/>
      </c>
      <c r="C228" s="20">
        <f>IF(Transaksi!$A217="","",Transaksi!$A217)</f>
        <v/>
      </c>
      <c r="D228" s="22">
        <f>IF(Transaksi!$A217="","",Transaksi!$C217)</f>
        <v/>
      </c>
      <c r="E228" s="21">
        <f>IF(Transaksi!$A217="","",Transaksi!$D217)</f>
        <v/>
      </c>
      <c r="F228" s="21">
        <f>IF(Transaksi!$A217="","",TRIM(IF(Transaksi!$C217="","Nominal kosong. ","")&amp;IF(N(Transaksi!$C217)&lt;0,"Nominal negatif. ","")&amp;IF(Transaksi!$B217="","Jenis belum diisi. ","")&amp;IF(Transaksi!$E217="","Kategori belum diisi. ","")&amp;IF(Transaksi!$A217&gt;TODAY(),"Tanggal di masa depan. ","")&amp;IF(COUNTIFS(Transaksi!$A$2:$A$501,Transaksi!$A217,Transaksi!$C$2:$C$501,Transaksi!$C217,Transaksi!$D$2:$D$501,Transaksi!$D217)&gt;1,"Kemungkinan duplikat. ","")))</f>
        <v/>
      </c>
    </row>
    <row r="229" ht="18" customHeight="1">
      <c r="B229" s="21">
        <f>IF(Transaksi!$A218="","",218)</f>
        <v/>
      </c>
      <c r="C229" s="20">
        <f>IF(Transaksi!$A218="","",Transaksi!$A218)</f>
        <v/>
      </c>
      <c r="D229" s="22">
        <f>IF(Transaksi!$A218="","",Transaksi!$C218)</f>
        <v/>
      </c>
      <c r="E229" s="21">
        <f>IF(Transaksi!$A218="","",Transaksi!$D218)</f>
        <v/>
      </c>
      <c r="F229" s="21">
        <f>IF(Transaksi!$A218="","",TRIM(IF(Transaksi!$C218="","Nominal kosong. ","")&amp;IF(N(Transaksi!$C218)&lt;0,"Nominal negatif. ","")&amp;IF(Transaksi!$B218="","Jenis belum diisi. ","")&amp;IF(Transaksi!$E218="","Kategori belum diisi. ","")&amp;IF(Transaksi!$A218&gt;TODAY(),"Tanggal di masa depan. ","")&amp;IF(COUNTIFS(Transaksi!$A$2:$A$501,Transaksi!$A218,Transaksi!$C$2:$C$501,Transaksi!$C218,Transaksi!$D$2:$D$501,Transaksi!$D218)&gt;1,"Kemungkinan duplikat. ","")))</f>
        <v/>
      </c>
    </row>
    <row r="230" ht="18" customHeight="1">
      <c r="B230" s="21">
        <f>IF(Transaksi!$A219="","",219)</f>
        <v/>
      </c>
      <c r="C230" s="20">
        <f>IF(Transaksi!$A219="","",Transaksi!$A219)</f>
        <v/>
      </c>
      <c r="D230" s="22">
        <f>IF(Transaksi!$A219="","",Transaksi!$C219)</f>
        <v/>
      </c>
      <c r="E230" s="21">
        <f>IF(Transaksi!$A219="","",Transaksi!$D219)</f>
        <v/>
      </c>
      <c r="F230" s="21">
        <f>IF(Transaksi!$A219="","",TRIM(IF(Transaksi!$C219="","Nominal kosong. ","")&amp;IF(N(Transaksi!$C219)&lt;0,"Nominal negatif. ","")&amp;IF(Transaksi!$B219="","Jenis belum diisi. ","")&amp;IF(Transaksi!$E219="","Kategori belum diisi. ","")&amp;IF(Transaksi!$A219&gt;TODAY(),"Tanggal di masa depan. ","")&amp;IF(COUNTIFS(Transaksi!$A$2:$A$501,Transaksi!$A219,Transaksi!$C$2:$C$501,Transaksi!$C219,Transaksi!$D$2:$D$501,Transaksi!$D219)&gt;1,"Kemungkinan duplikat. ","")))</f>
        <v/>
      </c>
    </row>
    <row r="231" ht="18" customHeight="1">
      <c r="B231" s="21">
        <f>IF(Transaksi!$A220="","",220)</f>
        <v/>
      </c>
      <c r="C231" s="20">
        <f>IF(Transaksi!$A220="","",Transaksi!$A220)</f>
        <v/>
      </c>
      <c r="D231" s="22">
        <f>IF(Transaksi!$A220="","",Transaksi!$C220)</f>
        <v/>
      </c>
      <c r="E231" s="21">
        <f>IF(Transaksi!$A220="","",Transaksi!$D220)</f>
        <v/>
      </c>
      <c r="F231" s="21">
        <f>IF(Transaksi!$A220="","",TRIM(IF(Transaksi!$C220="","Nominal kosong. ","")&amp;IF(N(Transaksi!$C220)&lt;0,"Nominal negatif. ","")&amp;IF(Transaksi!$B220="","Jenis belum diisi. ","")&amp;IF(Transaksi!$E220="","Kategori belum diisi. ","")&amp;IF(Transaksi!$A220&gt;TODAY(),"Tanggal di masa depan. ","")&amp;IF(COUNTIFS(Transaksi!$A$2:$A$501,Transaksi!$A220,Transaksi!$C$2:$C$501,Transaksi!$C220,Transaksi!$D$2:$D$501,Transaksi!$D220)&gt;1,"Kemungkinan duplikat. ","")))</f>
        <v/>
      </c>
    </row>
    <row r="232" ht="18" customHeight="1">
      <c r="B232" s="21">
        <f>IF(Transaksi!$A221="","",221)</f>
        <v/>
      </c>
      <c r="C232" s="20">
        <f>IF(Transaksi!$A221="","",Transaksi!$A221)</f>
        <v/>
      </c>
      <c r="D232" s="22">
        <f>IF(Transaksi!$A221="","",Transaksi!$C221)</f>
        <v/>
      </c>
      <c r="E232" s="21">
        <f>IF(Transaksi!$A221="","",Transaksi!$D221)</f>
        <v/>
      </c>
      <c r="F232" s="21">
        <f>IF(Transaksi!$A221="","",TRIM(IF(Transaksi!$C221="","Nominal kosong. ","")&amp;IF(N(Transaksi!$C221)&lt;0,"Nominal negatif. ","")&amp;IF(Transaksi!$B221="","Jenis belum diisi. ","")&amp;IF(Transaksi!$E221="","Kategori belum diisi. ","")&amp;IF(Transaksi!$A221&gt;TODAY(),"Tanggal di masa depan. ","")&amp;IF(COUNTIFS(Transaksi!$A$2:$A$501,Transaksi!$A221,Transaksi!$C$2:$C$501,Transaksi!$C221,Transaksi!$D$2:$D$501,Transaksi!$D221)&gt;1,"Kemungkinan duplikat. ","")))</f>
        <v/>
      </c>
    </row>
    <row r="233" ht="18" customHeight="1">
      <c r="B233" s="21">
        <f>IF(Transaksi!$A222="","",222)</f>
        <v/>
      </c>
      <c r="C233" s="20">
        <f>IF(Transaksi!$A222="","",Transaksi!$A222)</f>
        <v/>
      </c>
      <c r="D233" s="22">
        <f>IF(Transaksi!$A222="","",Transaksi!$C222)</f>
        <v/>
      </c>
      <c r="E233" s="21">
        <f>IF(Transaksi!$A222="","",Transaksi!$D222)</f>
        <v/>
      </c>
      <c r="F233" s="21">
        <f>IF(Transaksi!$A222="","",TRIM(IF(Transaksi!$C222="","Nominal kosong. ","")&amp;IF(N(Transaksi!$C222)&lt;0,"Nominal negatif. ","")&amp;IF(Transaksi!$B222="","Jenis belum diisi. ","")&amp;IF(Transaksi!$E222="","Kategori belum diisi. ","")&amp;IF(Transaksi!$A222&gt;TODAY(),"Tanggal di masa depan. ","")&amp;IF(COUNTIFS(Transaksi!$A$2:$A$501,Transaksi!$A222,Transaksi!$C$2:$C$501,Transaksi!$C222,Transaksi!$D$2:$D$501,Transaksi!$D222)&gt;1,"Kemungkinan duplikat. ","")))</f>
        <v/>
      </c>
    </row>
    <row r="234" ht="18" customHeight="1">
      <c r="B234" s="21">
        <f>IF(Transaksi!$A223="","",223)</f>
        <v/>
      </c>
      <c r="C234" s="20">
        <f>IF(Transaksi!$A223="","",Transaksi!$A223)</f>
        <v/>
      </c>
      <c r="D234" s="22">
        <f>IF(Transaksi!$A223="","",Transaksi!$C223)</f>
        <v/>
      </c>
      <c r="E234" s="21">
        <f>IF(Transaksi!$A223="","",Transaksi!$D223)</f>
        <v/>
      </c>
      <c r="F234" s="21">
        <f>IF(Transaksi!$A223="","",TRIM(IF(Transaksi!$C223="","Nominal kosong. ","")&amp;IF(N(Transaksi!$C223)&lt;0,"Nominal negatif. ","")&amp;IF(Transaksi!$B223="","Jenis belum diisi. ","")&amp;IF(Transaksi!$E223="","Kategori belum diisi. ","")&amp;IF(Transaksi!$A223&gt;TODAY(),"Tanggal di masa depan. ","")&amp;IF(COUNTIFS(Transaksi!$A$2:$A$501,Transaksi!$A223,Transaksi!$C$2:$C$501,Transaksi!$C223,Transaksi!$D$2:$D$501,Transaksi!$D223)&gt;1,"Kemungkinan duplikat. ","")))</f>
        <v/>
      </c>
    </row>
    <row r="235" ht="18" customHeight="1">
      <c r="B235" s="21">
        <f>IF(Transaksi!$A224="","",224)</f>
        <v/>
      </c>
      <c r="C235" s="20">
        <f>IF(Transaksi!$A224="","",Transaksi!$A224)</f>
        <v/>
      </c>
      <c r="D235" s="22">
        <f>IF(Transaksi!$A224="","",Transaksi!$C224)</f>
        <v/>
      </c>
      <c r="E235" s="21">
        <f>IF(Transaksi!$A224="","",Transaksi!$D224)</f>
        <v/>
      </c>
      <c r="F235" s="21">
        <f>IF(Transaksi!$A224="","",TRIM(IF(Transaksi!$C224="","Nominal kosong. ","")&amp;IF(N(Transaksi!$C224)&lt;0,"Nominal negatif. ","")&amp;IF(Transaksi!$B224="","Jenis belum diisi. ","")&amp;IF(Transaksi!$E224="","Kategori belum diisi. ","")&amp;IF(Transaksi!$A224&gt;TODAY(),"Tanggal di masa depan. ","")&amp;IF(COUNTIFS(Transaksi!$A$2:$A$501,Transaksi!$A224,Transaksi!$C$2:$C$501,Transaksi!$C224,Transaksi!$D$2:$D$501,Transaksi!$D224)&gt;1,"Kemungkinan duplikat. ","")))</f>
        <v/>
      </c>
    </row>
    <row r="236" ht="18" customHeight="1">
      <c r="B236" s="21">
        <f>IF(Transaksi!$A225="","",225)</f>
        <v/>
      </c>
      <c r="C236" s="20">
        <f>IF(Transaksi!$A225="","",Transaksi!$A225)</f>
        <v/>
      </c>
      <c r="D236" s="22">
        <f>IF(Transaksi!$A225="","",Transaksi!$C225)</f>
        <v/>
      </c>
      <c r="E236" s="21">
        <f>IF(Transaksi!$A225="","",Transaksi!$D225)</f>
        <v/>
      </c>
      <c r="F236" s="21">
        <f>IF(Transaksi!$A225="","",TRIM(IF(Transaksi!$C225="","Nominal kosong. ","")&amp;IF(N(Transaksi!$C225)&lt;0,"Nominal negatif. ","")&amp;IF(Transaksi!$B225="","Jenis belum diisi. ","")&amp;IF(Transaksi!$E225="","Kategori belum diisi. ","")&amp;IF(Transaksi!$A225&gt;TODAY(),"Tanggal di masa depan. ","")&amp;IF(COUNTIFS(Transaksi!$A$2:$A$501,Transaksi!$A225,Transaksi!$C$2:$C$501,Transaksi!$C225,Transaksi!$D$2:$D$501,Transaksi!$D225)&gt;1,"Kemungkinan duplikat. ","")))</f>
        <v/>
      </c>
    </row>
    <row r="237" ht="18" customHeight="1">
      <c r="B237" s="21">
        <f>IF(Transaksi!$A226="","",226)</f>
        <v/>
      </c>
      <c r="C237" s="20">
        <f>IF(Transaksi!$A226="","",Transaksi!$A226)</f>
        <v/>
      </c>
      <c r="D237" s="22">
        <f>IF(Transaksi!$A226="","",Transaksi!$C226)</f>
        <v/>
      </c>
      <c r="E237" s="21">
        <f>IF(Transaksi!$A226="","",Transaksi!$D226)</f>
        <v/>
      </c>
      <c r="F237" s="21">
        <f>IF(Transaksi!$A226="","",TRIM(IF(Transaksi!$C226="","Nominal kosong. ","")&amp;IF(N(Transaksi!$C226)&lt;0,"Nominal negatif. ","")&amp;IF(Transaksi!$B226="","Jenis belum diisi. ","")&amp;IF(Transaksi!$E226="","Kategori belum diisi. ","")&amp;IF(Transaksi!$A226&gt;TODAY(),"Tanggal di masa depan. ","")&amp;IF(COUNTIFS(Transaksi!$A$2:$A$501,Transaksi!$A226,Transaksi!$C$2:$C$501,Transaksi!$C226,Transaksi!$D$2:$D$501,Transaksi!$D226)&gt;1,"Kemungkinan duplikat. ","")))</f>
        <v/>
      </c>
    </row>
    <row r="238" ht="18" customHeight="1">
      <c r="B238" s="21">
        <f>IF(Transaksi!$A227="","",227)</f>
        <v/>
      </c>
      <c r="C238" s="20">
        <f>IF(Transaksi!$A227="","",Transaksi!$A227)</f>
        <v/>
      </c>
      <c r="D238" s="22">
        <f>IF(Transaksi!$A227="","",Transaksi!$C227)</f>
        <v/>
      </c>
      <c r="E238" s="21">
        <f>IF(Transaksi!$A227="","",Transaksi!$D227)</f>
        <v/>
      </c>
      <c r="F238" s="21">
        <f>IF(Transaksi!$A227="","",TRIM(IF(Transaksi!$C227="","Nominal kosong. ","")&amp;IF(N(Transaksi!$C227)&lt;0,"Nominal negatif. ","")&amp;IF(Transaksi!$B227="","Jenis belum diisi. ","")&amp;IF(Transaksi!$E227="","Kategori belum diisi. ","")&amp;IF(Transaksi!$A227&gt;TODAY(),"Tanggal di masa depan. ","")&amp;IF(COUNTIFS(Transaksi!$A$2:$A$501,Transaksi!$A227,Transaksi!$C$2:$C$501,Transaksi!$C227,Transaksi!$D$2:$D$501,Transaksi!$D227)&gt;1,"Kemungkinan duplikat. ","")))</f>
        <v/>
      </c>
    </row>
    <row r="239" ht="18" customHeight="1">
      <c r="B239" s="21">
        <f>IF(Transaksi!$A228="","",228)</f>
        <v/>
      </c>
      <c r="C239" s="20">
        <f>IF(Transaksi!$A228="","",Transaksi!$A228)</f>
        <v/>
      </c>
      <c r="D239" s="22">
        <f>IF(Transaksi!$A228="","",Transaksi!$C228)</f>
        <v/>
      </c>
      <c r="E239" s="21">
        <f>IF(Transaksi!$A228="","",Transaksi!$D228)</f>
        <v/>
      </c>
      <c r="F239" s="21">
        <f>IF(Transaksi!$A228="","",TRIM(IF(Transaksi!$C228="","Nominal kosong. ","")&amp;IF(N(Transaksi!$C228)&lt;0,"Nominal negatif. ","")&amp;IF(Transaksi!$B228="","Jenis belum diisi. ","")&amp;IF(Transaksi!$E228="","Kategori belum diisi. ","")&amp;IF(Transaksi!$A228&gt;TODAY(),"Tanggal di masa depan. ","")&amp;IF(COUNTIFS(Transaksi!$A$2:$A$501,Transaksi!$A228,Transaksi!$C$2:$C$501,Transaksi!$C228,Transaksi!$D$2:$D$501,Transaksi!$D228)&gt;1,"Kemungkinan duplikat. ","")))</f>
        <v/>
      </c>
    </row>
    <row r="240" ht="18" customHeight="1">
      <c r="B240" s="21">
        <f>IF(Transaksi!$A229="","",229)</f>
        <v/>
      </c>
      <c r="C240" s="20">
        <f>IF(Transaksi!$A229="","",Transaksi!$A229)</f>
        <v/>
      </c>
      <c r="D240" s="22">
        <f>IF(Transaksi!$A229="","",Transaksi!$C229)</f>
        <v/>
      </c>
      <c r="E240" s="21">
        <f>IF(Transaksi!$A229="","",Transaksi!$D229)</f>
        <v/>
      </c>
      <c r="F240" s="21">
        <f>IF(Transaksi!$A229="","",TRIM(IF(Transaksi!$C229="","Nominal kosong. ","")&amp;IF(N(Transaksi!$C229)&lt;0,"Nominal negatif. ","")&amp;IF(Transaksi!$B229="","Jenis belum diisi. ","")&amp;IF(Transaksi!$E229="","Kategori belum diisi. ","")&amp;IF(Transaksi!$A229&gt;TODAY(),"Tanggal di masa depan. ","")&amp;IF(COUNTIFS(Transaksi!$A$2:$A$501,Transaksi!$A229,Transaksi!$C$2:$C$501,Transaksi!$C229,Transaksi!$D$2:$D$501,Transaksi!$D229)&gt;1,"Kemungkinan duplikat. ","")))</f>
        <v/>
      </c>
    </row>
    <row r="241" ht="18" customHeight="1">
      <c r="B241" s="21">
        <f>IF(Transaksi!$A230="","",230)</f>
        <v/>
      </c>
      <c r="C241" s="20">
        <f>IF(Transaksi!$A230="","",Transaksi!$A230)</f>
        <v/>
      </c>
      <c r="D241" s="22">
        <f>IF(Transaksi!$A230="","",Transaksi!$C230)</f>
        <v/>
      </c>
      <c r="E241" s="21">
        <f>IF(Transaksi!$A230="","",Transaksi!$D230)</f>
        <v/>
      </c>
      <c r="F241" s="21">
        <f>IF(Transaksi!$A230="","",TRIM(IF(Transaksi!$C230="","Nominal kosong. ","")&amp;IF(N(Transaksi!$C230)&lt;0,"Nominal negatif. ","")&amp;IF(Transaksi!$B230="","Jenis belum diisi. ","")&amp;IF(Transaksi!$E230="","Kategori belum diisi. ","")&amp;IF(Transaksi!$A230&gt;TODAY(),"Tanggal di masa depan. ","")&amp;IF(COUNTIFS(Transaksi!$A$2:$A$501,Transaksi!$A230,Transaksi!$C$2:$C$501,Transaksi!$C230,Transaksi!$D$2:$D$501,Transaksi!$D230)&gt;1,"Kemungkinan duplikat. ","")))</f>
        <v/>
      </c>
    </row>
    <row r="242" ht="18" customHeight="1">
      <c r="B242" s="21">
        <f>IF(Transaksi!$A231="","",231)</f>
        <v/>
      </c>
      <c r="C242" s="20">
        <f>IF(Transaksi!$A231="","",Transaksi!$A231)</f>
        <v/>
      </c>
      <c r="D242" s="22">
        <f>IF(Transaksi!$A231="","",Transaksi!$C231)</f>
        <v/>
      </c>
      <c r="E242" s="21">
        <f>IF(Transaksi!$A231="","",Transaksi!$D231)</f>
        <v/>
      </c>
      <c r="F242" s="21">
        <f>IF(Transaksi!$A231="","",TRIM(IF(Transaksi!$C231="","Nominal kosong. ","")&amp;IF(N(Transaksi!$C231)&lt;0,"Nominal negatif. ","")&amp;IF(Transaksi!$B231="","Jenis belum diisi. ","")&amp;IF(Transaksi!$E231="","Kategori belum diisi. ","")&amp;IF(Transaksi!$A231&gt;TODAY(),"Tanggal di masa depan. ","")&amp;IF(COUNTIFS(Transaksi!$A$2:$A$501,Transaksi!$A231,Transaksi!$C$2:$C$501,Transaksi!$C231,Transaksi!$D$2:$D$501,Transaksi!$D231)&gt;1,"Kemungkinan duplikat. ","")))</f>
        <v/>
      </c>
    </row>
    <row r="243" ht="18" customHeight="1">
      <c r="B243" s="21">
        <f>IF(Transaksi!$A232="","",232)</f>
        <v/>
      </c>
      <c r="C243" s="20">
        <f>IF(Transaksi!$A232="","",Transaksi!$A232)</f>
        <v/>
      </c>
      <c r="D243" s="22">
        <f>IF(Transaksi!$A232="","",Transaksi!$C232)</f>
        <v/>
      </c>
      <c r="E243" s="21">
        <f>IF(Transaksi!$A232="","",Transaksi!$D232)</f>
        <v/>
      </c>
      <c r="F243" s="21">
        <f>IF(Transaksi!$A232="","",TRIM(IF(Transaksi!$C232="","Nominal kosong. ","")&amp;IF(N(Transaksi!$C232)&lt;0,"Nominal negatif. ","")&amp;IF(Transaksi!$B232="","Jenis belum diisi. ","")&amp;IF(Transaksi!$E232="","Kategori belum diisi. ","")&amp;IF(Transaksi!$A232&gt;TODAY(),"Tanggal di masa depan. ","")&amp;IF(COUNTIFS(Transaksi!$A$2:$A$501,Transaksi!$A232,Transaksi!$C$2:$C$501,Transaksi!$C232,Transaksi!$D$2:$D$501,Transaksi!$D232)&gt;1,"Kemungkinan duplikat. ","")))</f>
        <v/>
      </c>
    </row>
    <row r="244" ht="18" customHeight="1">
      <c r="B244" s="21">
        <f>IF(Transaksi!$A233="","",233)</f>
        <v/>
      </c>
      <c r="C244" s="20">
        <f>IF(Transaksi!$A233="","",Transaksi!$A233)</f>
        <v/>
      </c>
      <c r="D244" s="22">
        <f>IF(Transaksi!$A233="","",Transaksi!$C233)</f>
        <v/>
      </c>
      <c r="E244" s="21">
        <f>IF(Transaksi!$A233="","",Transaksi!$D233)</f>
        <v/>
      </c>
      <c r="F244" s="21">
        <f>IF(Transaksi!$A233="","",TRIM(IF(Transaksi!$C233="","Nominal kosong. ","")&amp;IF(N(Transaksi!$C233)&lt;0,"Nominal negatif. ","")&amp;IF(Transaksi!$B233="","Jenis belum diisi. ","")&amp;IF(Transaksi!$E233="","Kategori belum diisi. ","")&amp;IF(Transaksi!$A233&gt;TODAY(),"Tanggal di masa depan. ","")&amp;IF(COUNTIFS(Transaksi!$A$2:$A$501,Transaksi!$A233,Transaksi!$C$2:$C$501,Transaksi!$C233,Transaksi!$D$2:$D$501,Transaksi!$D233)&gt;1,"Kemungkinan duplikat. ","")))</f>
        <v/>
      </c>
    </row>
    <row r="245" ht="18" customHeight="1">
      <c r="B245" s="21">
        <f>IF(Transaksi!$A234="","",234)</f>
        <v/>
      </c>
      <c r="C245" s="20">
        <f>IF(Transaksi!$A234="","",Transaksi!$A234)</f>
        <v/>
      </c>
      <c r="D245" s="22">
        <f>IF(Transaksi!$A234="","",Transaksi!$C234)</f>
        <v/>
      </c>
      <c r="E245" s="21">
        <f>IF(Transaksi!$A234="","",Transaksi!$D234)</f>
        <v/>
      </c>
      <c r="F245" s="21">
        <f>IF(Transaksi!$A234="","",TRIM(IF(Transaksi!$C234="","Nominal kosong. ","")&amp;IF(N(Transaksi!$C234)&lt;0,"Nominal negatif. ","")&amp;IF(Transaksi!$B234="","Jenis belum diisi. ","")&amp;IF(Transaksi!$E234="","Kategori belum diisi. ","")&amp;IF(Transaksi!$A234&gt;TODAY(),"Tanggal di masa depan. ","")&amp;IF(COUNTIFS(Transaksi!$A$2:$A$501,Transaksi!$A234,Transaksi!$C$2:$C$501,Transaksi!$C234,Transaksi!$D$2:$D$501,Transaksi!$D234)&gt;1,"Kemungkinan duplikat. ","")))</f>
        <v/>
      </c>
    </row>
    <row r="246" ht="18" customHeight="1">
      <c r="B246" s="21">
        <f>IF(Transaksi!$A235="","",235)</f>
        <v/>
      </c>
      <c r="C246" s="20">
        <f>IF(Transaksi!$A235="","",Transaksi!$A235)</f>
        <v/>
      </c>
      <c r="D246" s="22">
        <f>IF(Transaksi!$A235="","",Transaksi!$C235)</f>
        <v/>
      </c>
      <c r="E246" s="21">
        <f>IF(Transaksi!$A235="","",Transaksi!$D235)</f>
        <v/>
      </c>
      <c r="F246" s="21">
        <f>IF(Transaksi!$A235="","",TRIM(IF(Transaksi!$C235="","Nominal kosong. ","")&amp;IF(N(Transaksi!$C235)&lt;0,"Nominal negatif. ","")&amp;IF(Transaksi!$B235="","Jenis belum diisi. ","")&amp;IF(Transaksi!$E235="","Kategori belum diisi. ","")&amp;IF(Transaksi!$A235&gt;TODAY(),"Tanggal di masa depan. ","")&amp;IF(COUNTIFS(Transaksi!$A$2:$A$501,Transaksi!$A235,Transaksi!$C$2:$C$501,Transaksi!$C235,Transaksi!$D$2:$D$501,Transaksi!$D235)&gt;1,"Kemungkinan duplikat. ","")))</f>
        <v/>
      </c>
    </row>
    <row r="247" ht="18" customHeight="1">
      <c r="B247" s="21">
        <f>IF(Transaksi!$A236="","",236)</f>
        <v/>
      </c>
      <c r="C247" s="20">
        <f>IF(Transaksi!$A236="","",Transaksi!$A236)</f>
        <v/>
      </c>
      <c r="D247" s="22">
        <f>IF(Transaksi!$A236="","",Transaksi!$C236)</f>
        <v/>
      </c>
      <c r="E247" s="21">
        <f>IF(Transaksi!$A236="","",Transaksi!$D236)</f>
        <v/>
      </c>
      <c r="F247" s="21">
        <f>IF(Transaksi!$A236="","",TRIM(IF(Transaksi!$C236="","Nominal kosong. ","")&amp;IF(N(Transaksi!$C236)&lt;0,"Nominal negatif. ","")&amp;IF(Transaksi!$B236="","Jenis belum diisi. ","")&amp;IF(Transaksi!$E236="","Kategori belum diisi. ","")&amp;IF(Transaksi!$A236&gt;TODAY(),"Tanggal di masa depan. ","")&amp;IF(COUNTIFS(Transaksi!$A$2:$A$501,Transaksi!$A236,Transaksi!$C$2:$C$501,Transaksi!$C236,Transaksi!$D$2:$D$501,Transaksi!$D236)&gt;1,"Kemungkinan duplikat. ","")))</f>
        <v/>
      </c>
    </row>
    <row r="248" ht="18" customHeight="1">
      <c r="B248" s="21">
        <f>IF(Transaksi!$A237="","",237)</f>
        <v/>
      </c>
      <c r="C248" s="20">
        <f>IF(Transaksi!$A237="","",Transaksi!$A237)</f>
        <v/>
      </c>
      <c r="D248" s="22">
        <f>IF(Transaksi!$A237="","",Transaksi!$C237)</f>
        <v/>
      </c>
      <c r="E248" s="21">
        <f>IF(Transaksi!$A237="","",Transaksi!$D237)</f>
        <v/>
      </c>
      <c r="F248" s="21">
        <f>IF(Transaksi!$A237="","",TRIM(IF(Transaksi!$C237="","Nominal kosong. ","")&amp;IF(N(Transaksi!$C237)&lt;0,"Nominal negatif. ","")&amp;IF(Transaksi!$B237="","Jenis belum diisi. ","")&amp;IF(Transaksi!$E237="","Kategori belum diisi. ","")&amp;IF(Transaksi!$A237&gt;TODAY(),"Tanggal di masa depan. ","")&amp;IF(COUNTIFS(Transaksi!$A$2:$A$501,Transaksi!$A237,Transaksi!$C$2:$C$501,Transaksi!$C237,Transaksi!$D$2:$D$501,Transaksi!$D237)&gt;1,"Kemungkinan duplikat. ","")))</f>
        <v/>
      </c>
    </row>
    <row r="249" ht="18" customHeight="1">
      <c r="B249" s="21">
        <f>IF(Transaksi!$A238="","",238)</f>
        <v/>
      </c>
      <c r="C249" s="20">
        <f>IF(Transaksi!$A238="","",Transaksi!$A238)</f>
        <v/>
      </c>
      <c r="D249" s="22">
        <f>IF(Transaksi!$A238="","",Transaksi!$C238)</f>
        <v/>
      </c>
      <c r="E249" s="21">
        <f>IF(Transaksi!$A238="","",Transaksi!$D238)</f>
        <v/>
      </c>
      <c r="F249" s="21">
        <f>IF(Transaksi!$A238="","",TRIM(IF(Transaksi!$C238="","Nominal kosong. ","")&amp;IF(N(Transaksi!$C238)&lt;0,"Nominal negatif. ","")&amp;IF(Transaksi!$B238="","Jenis belum diisi. ","")&amp;IF(Transaksi!$E238="","Kategori belum diisi. ","")&amp;IF(Transaksi!$A238&gt;TODAY(),"Tanggal di masa depan. ","")&amp;IF(COUNTIFS(Transaksi!$A$2:$A$501,Transaksi!$A238,Transaksi!$C$2:$C$501,Transaksi!$C238,Transaksi!$D$2:$D$501,Transaksi!$D238)&gt;1,"Kemungkinan duplikat. ","")))</f>
        <v/>
      </c>
    </row>
    <row r="250" ht="18" customHeight="1">
      <c r="B250" s="21">
        <f>IF(Transaksi!$A239="","",239)</f>
        <v/>
      </c>
      <c r="C250" s="20">
        <f>IF(Transaksi!$A239="","",Transaksi!$A239)</f>
        <v/>
      </c>
      <c r="D250" s="22">
        <f>IF(Transaksi!$A239="","",Transaksi!$C239)</f>
        <v/>
      </c>
      <c r="E250" s="21">
        <f>IF(Transaksi!$A239="","",Transaksi!$D239)</f>
        <v/>
      </c>
      <c r="F250" s="21">
        <f>IF(Transaksi!$A239="","",TRIM(IF(Transaksi!$C239="","Nominal kosong. ","")&amp;IF(N(Transaksi!$C239)&lt;0,"Nominal negatif. ","")&amp;IF(Transaksi!$B239="","Jenis belum diisi. ","")&amp;IF(Transaksi!$E239="","Kategori belum diisi. ","")&amp;IF(Transaksi!$A239&gt;TODAY(),"Tanggal di masa depan. ","")&amp;IF(COUNTIFS(Transaksi!$A$2:$A$501,Transaksi!$A239,Transaksi!$C$2:$C$501,Transaksi!$C239,Transaksi!$D$2:$D$501,Transaksi!$D239)&gt;1,"Kemungkinan duplikat. ","")))</f>
        <v/>
      </c>
    </row>
    <row r="251" ht="18" customHeight="1">
      <c r="B251" s="21">
        <f>IF(Transaksi!$A240="","",240)</f>
        <v/>
      </c>
      <c r="C251" s="20">
        <f>IF(Transaksi!$A240="","",Transaksi!$A240)</f>
        <v/>
      </c>
      <c r="D251" s="22">
        <f>IF(Transaksi!$A240="","",Transaksi!$C240)</f>
        <v/>
      </c>
      <c r="E251" s="21">
        <f>IF(Transaksi!$A240="","",Transaksi!$D240)</f>
        <v/>
      </c>
      <c r="F251" s="21">
        <f>IF(Transaksi!$A240="","",TRIM(IF(Transaksi!$C240="","Nominal kosong. ","")&amp;IF(N(Transaksi!$C240)&lt;0,"Nominal negatif. ","")&amp;IF(Transaksi!$B240="","Jenis belum diisi. ","")&amp;IF(Transaksi!$E240="","Kategori belum diisi. ","")&amp;IF(Transaksi!$A240&gt;TODAY(),"Tanggal di masa depan. ","")&amp;IF(COUNTIFS(Transaksi!$A$2:$A$501,Transaksi!$A240,Transaksi!$C$2:$C$501,Transaksi!$C240,Transaksi!$D$2:$D$501,Transaksi!$D240)&gt;1,"Kemungkinan duplikat. ","")))</f>
        <v/>
      </c>
    </row>
    <row r="252" ht="18" customHeight="1">
      <c r="B252" s="21">
        <f>IF(Transaksi!$A241="","",241)</f>
        <v/>
      </c>
      <c r="C252" s="20">
        <f>IF(Transaksi!$A241="","",Transaksi!$A241)</f>
        <v/>
      </c>
      <c r="D252" s="22">
        <f>IF(Transaksi!$A241="","",Transaksi!$C241)</f>
        <v/>
      </c>
      <c r="E252" s="21">
        <f>IF(Transaksi!$A241="","",Transaksi!$D241)</f>
        <v/>
      </c>
      <c r="F252" s="21">
        <f>IF(Transaksi!$A241="","",TRIM(IF(Transaksi!$C241="","Nominal kosong. ","")&amp;IF(N(Transaksi!$C241)&lt;0,"Nominal negatif. ","")&amp;IF(Transaksi!$B241="","Jenis belum diisi. ","")&amp;IF(Transaksi!$E241="","Kategori belum diisi. ","")&amp;IF(Transaksi!$A241&gt;TODAY(),"Tanggal di masa depan. ","")&amp;IF(COUNTIFS(Transaksi!$A$2:$A$501,Transaksi!$A241,Transaksi!$C$2:$C$501,Transaksi!$C241,Transaksi!$D$2:$D$501,Transaksi!$D241)&gt;1,"Kemungkinan duplikat. ","")))</f>
        <v/>
      </c>
    </row>
    <row r="253" ht="18" customHeight="1">
      <c r="B253" s="21">
        <f>IF(Transaksi!$A242="","",242)</f>
        <v/>
      </c>
      <c r="C253" s="20">
        <f>IF(Transaksi!$A242="","",Transaksi!$A242)</f>
        <v/>
      </c>
      <c r="D253" s="22">
        <f>IF(Transaksi!$A242="","",Transaksi!$C242)</f>
        <v/>
      </c>
      <c r="E253" s="21">
        <f>IF(Transaksi!$A242="","",Transaksi!$D242)</f>
        <v/>
      </c>
      <c r="F253" s="21">
        <f>IF(Transaksi!$A242="","",TRIM(IF(Transaksi!$C242="","Nominal kosong. ","")&amp;IF(N(Transaksi!$C242)&lt;0,"Nominal negatif. ","")&amp;IF(Transaksi!$B242="","Jenis belum diisi. ","")&amp;IF(Transaksi!$E242="","Kategori belum diisi. ","")&amp;IF(Transaksi!$A242&gt;TODAY(),"Tanggal di masa depan. ","")&amp;IF(COUNTIFS(Transaksi!$A$2:$A$501,Transaksi!$A242,Transaksi!$C$2:$C$501,Transaksi!$C242,Transaksi!$D$2:$D$501,Transaksi!$D242)&gt;1,"Kemungkinan duplikat. ","")))</f>
        <v/>
      </c>
    </row>
    <row r="254" ht="18" customHeight="1">
      <c r="B254" s="21">
        <f>IF(Transaksi!$A243="","",243)</f>
        <v/>
      </c>
      <c r="C254" s="20">
        <f>IF(Transaksi!$A243="","",Transaksi!$A243)</f>
        <v/>
      </c>
      <c r="D254" s="22">
        <f>IF(Transaksi!$A243="","",Transaksi!$C243)</f>
        <v/>
      </c>
      <c r="E254" s="21">
        <f>IF(Transaksi!$A243="","",Transaksi!$D243)</f>
        <v/>
      </c>
      <c r="F254" s="21">
        <f>IF(Transaksi!$A243="","",TRIM(IF(Transaksi!$C243="","Nominal kosong. ","")&amp;IF(N(Transaksi!$C243)&lt;0,"Nominal negatif. ","")&amp;IF(Transaksi!$B243="","Jenis belum diisi. ","")&amp;IF(Transaksi!$E243="","Kategori belum diisi. ","")&amp;IF(Transaksi!$A243&gt;TODAY(),"Tanggal di masa depan. ","")&amp;IF(COUNTIFS(Transaksi!$A$2:$A$501,Transaksi!$A243,Transaksi!$C$2:$C$501,Transaksi!$C243,Transaksi!$D$2:$D$501,Transaksi!$D243)&gt;1,"Kemungkinan duplikat. ","")))</f>
        <v/>
      </c>
    </row>
    <row r="255" ht="18" customHeight="1">
      <c r="B255" s="21">
        <f>IF(Transaksi!$A244="","",244)</f>
        <v/>
      </c>
      <c r="C255" s="20">
        <f>IF(Transaksi!$A244="","",Transaksi!$A244)</f>
        <v/>
      </c>
      <c r="D255" s="22">
        <f>IF(Transaksi!$A244="","",Transaksi!$C244)</f>
        <v/>
      </c>
      <c r="E255" s="21">
        <f>IF(Transaksi!$A244="","",Transaksi!$D244)</f>
        <v/>
      </c>
      <c r="F255" s="21">
        <f>IF(Transaksi!$A244="","",TRIM(IF(Transaksi!$C244="","Nominal kosong. ","")&amp;IF(N(Transaksi!$C244)&lt;0,"Nominal negatif. ","")&amp;IF(Transaksi!$B244="","Jenis belum diisi. ","")&amp;IF(Transaksi!$E244="","Kategori belum diisi. ","")&amp;IF(Transaksi!$A244&gt;TODAY(),"Tanggal di masa depan. ","")&amp;IF(COUNTIFS(Transaksi!$A$2:$A$501,Transaksi!$A244,Transaksi!$C$2:$C$501,Transaksi!$C244,Transaksi!$D$2:$D$501,Transaksi!$D244)&gt;1,"Kemungkinan duplikat. ","")))</f>
        <v/>
      </c>
    </row>
    <row r="256" ht="18" customHeight="1">
      <c r="B256" s="21">
        <f>IF(Transaksi!$A245="","",245)</f>
        <v/>
      </c>
      <c r="C256" s="20">
        <f>IF(Transaksi!$A245="","",Transaksi!$A245)</f>
        <v/>
      </c>
      <c r="D256" s="22">
        <f>IF(Transaksi!$A245="","",Transaksi!$C245)</f>
        <v/>
      </c>
      <c r="E256" s="21">
        <f>IF(Transaksi!$A245="","",Transaksi!$D245)</f>
        <v/>
      </c>
      <c r="F256" s="21">
        <f>IF(Transaksi!$A245="","",TRIM(IF(Transaksi!$C245="","Nominal kosong. ","")&amp;IF(N(Transaksi!$C245)&lt;0,"Nominal negatif. ","")&amp;IF(Transaksi!$B245="","Jenis belum diisi. ","")&amp;IF(Transaksi!$E245="","Kategori belum diisi. ","")&amp;IF(Transaksi!$A245&gt;TODAY(),"Tanggal di masa depan. ","")&amp;IF(COUNTIFS(Transaksi!$A$2:$A$501,Transaksi!$A245,Transaksi!$C$2:$C$501,Transaksi!$C245,Transaksi!$D$2:$D$501,Transaksi!$D245)&gt;1,"Kemungkinan duplikat. ","")))</f>
        <v/>
      </c>
    </row>
    <row r="257" ht="18" customHeight="1">
      <c r="B257" s="21">
        <f>IF(Transaksi!$A246="","",246)</f>
        <v/>
      </c>
      <c r="C257" s="20">
        <f>IF(Transaksi!$A246="","",Transaksi!$A246)</f>
        <v/>
      </c>
      <c r="D257" s="22">
        <f>IF(Transaksi!$A246="","",Transaksi!$C246)</f>
        <v/>
      </c>
      <c r="E257" s="21">
        <f>IF(Transaksi!$A246="","",Transaksi!$D246)</f>
        <v/>
      </c>
      <c r="F257" s="21">
        <f>IF(Transaksi!$A246="","",TRIM(IF(Transaksi!$C246="","Nominal kosong. ","")&amp;IF(N(Transaksi!$C246)&lt;0,"Nominal negatif. ","")&amp;IF(Transaksi!$B246="","Jenis belum diisi. ","")&amp;IF(Transaksi!$E246="","Kategori belum diisi. ","")&amp;IF(Transaksi!$A246&gt;TODAY(),"Tanggal di masa depan. ","")&amp;IF(COUNTIFS(Transaksi!$A$2:$A$501,Transaksi!$A246,Transaksi!$C$2:$C$501,Transaksi!$C246,Transaksi!$D$2:$D$501,Transaksi!$D246)&gt;1,"Kemungkinan duplikat. ","")))</f>
        <v/>
      </c>
    </row>
    <row r="258" ht="18" customHeight="1">
      <c r="B258" s="21">
        <f>IF(Transaksi!$A247="","",247)</f>
        <v/>
      </c>
      <c r="C258" s="20">
        <f>IF(Transaksi!$A247="","",Transaksi!$A247)</f>
        <v/>
      </c>
      <c r="D258" s="22">
        <f>IF(Transaksi!$A247="","",Transaksi!$C247)</f>
        <v/>
      </c>
      <c r="E258" s="21">
        <f>IF(Transaksi!$A247="","",Transaksi!$D247)</f>
        <v/>
      </c>
      <c r="F258" s="21">
        <f>IF(Transaksi!$A247="","",TRIM(IF(Transaksi!$C247="","Nominal kosong. ","")&amp;IF(N(Transaksi!$C247)&lt;0,"Nominal negatif. ","")&amp;IF(Transaksi!$B247="","Jenis belum diisi. ","")&amp;IF(Transaksi!$E247="","Kategori belum diisi. ","")&amp;IF(Transaksi!$A247&gt;TODAY(),"Tanggal di masa depan. ","")&amp;IF(COUNTIFS(Transaksi!$A$2:$A$501,Transaksi!$A247,Transaksi!$C$2:$C$501,Transaksi!$C247,Transaksi!$D$2:$D$501,Transaksi!$D247)&gt;1,"Kemungkinan duplikat. ","")))</f>
        <v/>
      </c>
    </row>
    <row r="259" ht="18" customHeight="1">
      <c r="B259" s="21">
        <f>IF(Transaksi!$A248="","",248)</f>
        <v/>
      </c>
      <c r="C259" s="20">
        <f>IF(Transaksi!$A248="","",Transaksi!$A248)</f>
        <v/>
      </c>
      <c r="D259" s="22">
        <f>IF(Transaksi!$A248="","",Transaksi!$C248)</f>
        <v/>
      </c>
      <c r="E259" s="21">
        <f>IF(Transaksi!$A248="","",Transaksi!$D248)</f>
        <v/>
      </c>
      <c r="F259" s="21">
        <f>IF(Transaksi!$A248="","",TRIM(IF(Transaksi!$C248="","Nominal kosong. ","")&amp;IF(N(Transaksi!$C248)&lt;0,"Nominal negatif. ","")&amp;IF(Transaksi!$B248="","Jenis belum diisi. ","")&amp;IF(Transaksi!$E248="","Kategori belum diisi. ","")&amp;IF(Transaksi!$A248&gt;TODAY(),"Tanggal di masa depan. ","")&amp;IF(COUNTIFS(Transaksi!$A$2:$A$501,Transaksi!$A248,Transaksi!$C$2:$C$501,Transaksi!$C248,Transaksi!$D$2:$D$501,Transaksi!$D248)&gt;1,"Kemungkinan duplikat. ","")))</f>
        <v/>
      </c>
    </row>
    <row r="260" ht="18" customHeight="1">
      <c r="B260" s="21">
        <f>IF(Transaksi!$A249="","",249)</f>
        <v/>
      </c>
      <c r="C260" s="20">
        <f>IF(Transaksi!$A249="","",Transaksi!$A249)</f>
        <v/>
      </c>
      <c r="D260" s="22">
        <f>IF(Transaksi!$A249="","",Transaksi!$C249)</f>
        <v/>
      </c>
      <c r="E260" s="21">
        <f>IF(Transaksi!$A249="","",Transaksi!$D249)</f>
        <v/>
      </c>
      <c r="F260" s="21">
        <f>IF(Transaksi!$A249="","",TRIM(IF(Transaksi!$C249="","Nominal kosong. ","")&amp;IF(N(Transaksi!$C249)&lt;0,"Nominal negatif. ","")&amp;IF(Transaksi!$B249="","Jenis belum diisi. ","")&amp;IF(Transaksi!$E249="","Kategori belum diisi. ","")&amp;IF(Transaksi!$A249&gt;TODAY(),"Tanggal di masa depan. ","")&amp;IF(COUNTIFS(Transaksi!$A$2:$A$501,Transaksi!$A249,Transaksi!$C$2:$C$501,Transaksi!$C249,Transaksi!$D$2:$D$501,Transaksi!$D249)&gt;1,"Kemungkinan duplikat. ","")))</f>
        <v/>
      </c>
    </row>
    <row r="261" ht="18" customHeight="1">
      <c r="B261" s="21">
        <f>IF(Transaksi!$A250="","",250)</f>
        <v/>
      </c>
      <c r="C261" s="20">
        <f>IF(Transaksi!$A250="","",Transaksi!$A250)</f>
        <v/>
      </c>
      <c r="D261" s="22">
        <f>IF(Transaksi!$A250="","",Transaksi!$C250)</f>
        <v/>
      </c>
      <c r="E261" s="21">
        <f>IF(Transaksi!$A250="","",Transaksi!$D250)</f>
        <v/>
      </c>
      <c r="F261" s="21">
        <f>IF(Transaksi!$A250="","",TRIM(IF(Transaksi!$C250="","Nominal kosong. ","")&amp;IF(N(Transaksi!$C250)&lt;0,"Nominal negatif. ","")&amp;IF(Transaksi!$B250="","Jenis belum diisi. ","")&amp;IF(Transaksi!$E250="","Kategori belum diisi. ","")&amp;IF(Transaksi!$A250&gt;TODAY(),"Tanggal di masa depan. ","")&amp;IF(COUNTIFS(Transaksi!$A$2:$A$501,Transaksi!$A250,Transaksi!$C$2:$C$501,Transaksi!$C250,Transaksi!$D$2:$D$501,Transaksi!$D250)&gt;1,"Kemungkinan duplikat. ","")))</f>
        <v/>
      </c>
    </row>
    <row r="262" ht="18" customHeight="1">
      <c r="B262" s="21">
        <f>IF(Transaksi!$A251="","",251)</f>
        <v/>
      </c>
      <c r="C262" s="20">
        <f>IF(Transaksi!$A251="","",Transaksi!$A251)</f>
        <v/>
      </c>
      <c r="D262" s="22">
        <f>IF(Transaksi!$A251="","",Transaksi!$C251)</f>
        <v/>
      </c>
      <c r="E262" s="21">
        <f>IF(Transaksi!$A251="","",Transaksi!$D251)</f>
        <v/>
      </c>
      <c r="F262" s="21">
        <f>IF(Transaksi!$A251="","",TRIM(IF(Transaksi!$C251="","Nominal kosong. ","")&amp;IF(N(Transaksi!$C251)&lt;0,"Nominal negatif. ","")&amp;IF(Transaksi!$B251="","Jenis belum diisi. ","")&amp;IF(Transaksi!$E251="","Kategori belum diisi. ","")&amp;IF(Transaksi!$A251&gt;TODAY(),"Tanggal di masa depan. ","")&amp;IF(COUNTIFS(Transaksi!$A$2:$A$501,Transaksi!$A251,Transaksi!$C$2:$C$501,Transaksi!$C251,Transaksi!$D$2:$D$501,Transaksi!$D251)&gt;1,"Kemungkinan duplikat. ","")))</f>
        <v/>
      </c>
    </row>
    <row r="263" ht="18" customHeight="1">
      <c r="B263" s="21">
        <f>IF(Transaksi!$A252="","",252)</f>
        <v/>
      </c>
      <c r="C263" s="20">
        <f>IF(Transaksi!$A252="","",Transaksi!$A252)</f>
        <v/>
      </c>
      <c r="D263" s="22">
        <f>IF(Transaksi!$A252="","",Transaksi!$C252)</f>
        <v/>
      </c>
      <c r="E263" s="21">
        <f>IF(Transaksi!$A252="","",Transaksi!$D252)</f>
        <v/>
      </c>
      <c r="F263" s="21">
        <f>IF(Transaksi!$A252="","",TRIM(IF(Transaksi!$C252="","Nominal kosong. ","")&amp;IF(N(Transaksi!$C252)&lt;0,"Nominal negatif. ","")&amp;IF(Transaksi!$B252="","Jenis belum diisi. ","")&amp;IF(Transaksi!$E252="","Kategori belum diisi. ","")&amp;IF(Transaksi!$A252&gt;TODAY(),"Tanggal di masa depan. ","")&amp;IF(COUNTIFS(Transaksi!$A$2:$A$501,Transaksi!$A252,Transaksi!$C$2:$C$501,Transaksi!$C252,Transaksi!$D$2:$D$501,Transaksi!$D252)&gt;1,"Kemungkinan duplikat. ","")))</f>
        <v/>
      </c>
    </row>
    <row r="264" ht="18" customHeight="1">
      <c r="B264" s="21">
        <f>IF(Transaksi!$A253="","",253)</f>
        <v/>
      </c>
      <c r="C264" s="20">
        <f>IF(Transaksi!$A253="","",Transaksi!$A253)</f>
        <v/>
      </c>
      <c r="D264" s="22">
        <f>IF(Transaksi!$A253="","",Transaksi!$C253)</f>
        <v/>
      </c>
      <c r="E264" s="21">
        <f>IF(Transaksi!$A253="","",Transaksi!$D253)</f>
        <v/>
      </c>
      <c r="F264" s="21">
        <f>IF(Transaksi!$A253="","",TRIM(IF(Transaksi!$C253="","Nominal kosong. ","")&amp;IF(N(Transaksi!$C253)&lt;0,"Nominal negatif. ","")&amp;IF(Transaksi!$B253="","Jenis belum diisi. ","")&amp;IF(Transaksi!$E253="","Kategori belum diisi. ","")&amp;IF(Transaksi!$A253&gt;TODAY(),"Tanggal di masa depan. ","")&amp;IF(COUNTIFS(Transaksi!$A$2:$A$501,Transaksi!$A253,Transaksi!$C$2:$C$501,Transaksi!$C253,Transaksi!$D$2:$D$501,Transaksi!$D253)&gt;1,"Kemungkinan duplikat. ","")))</f>
        <v/>
      </c>
    </row>
    <row r="265" ht="18" customHeight="1">
      <c r="B265" s="21">
        <f>IF(Transaksi!$A254="","",254)</f>
        <v/>
      </c>
      <c r="C265" s="20">
        <f>IF(Transaksi!$A254="","",Transaksi!$A254)</f>
        <v/>
      </c>
      <c r="D265" s="22">
        <f>IF(Transaksi!$A254="","",Transaksi!$C254)</f>
        <v/>
      </c>
      <c r="E265" s="21">
        <f>IF(Transaksi!$A254="","",Transaksi!$D254)</f>
        <v/>
      </c>
      <c r="F265" s="21">
        <f>IF(Transaksi!$A254="","",TRIM(IF(Transaksi!$C254="","Nominal kosong. ","")&amp;IF(N(Transaksi!$C254)&lt;0,"Nominal negatif. ","")&amp;IF(Transaksi!$B254="","Jenis belum diisi. ","")&amp;IF(Transaksi!$E254="","Kategori belum diisi. ","")&amp;IF(Transaksi!$A254&gt;TODAY(),"Tanggal di masa depan. ","")&amp;IF(COUNTIFS(Transaksi!$A$2:$A$501,Transaksi!$A254,Transaksi!$C$2:$C$501,Transaksi!$C254,Transaksi!$D$2:$D$501,Transaksi!$D254)&gt;1,"Kemungkinan duplikat. ","")))</f>
        <v/>
      </c>
    </row>
    <row r="266" ht="18" customHeight="1">
      <c r="B266" s="21">
        <f>IF(Transaksi!$A255="","",255)</f>
        <v/>
      </c>
      <c r="C266" s="20">
        <f>IF(Transaksi!$A255="","",Transaksi!$A255)</f>
        <v/>
      </c>
      <c r="D266" s="22">
        <f>IF(Transaksi!$A255="","",Transaksi!$C255)</f>
        <v/>
      </c>
      <c r="E266" s="21">
        <f>IF(Transaksi!$A255="","",Transaksi!$D255)</f>
        <v/>
      </c>
      <c r="F266" s="21">
        <f>IF(Transaksi!$A255="","",TRIM(IF(Transaksi!$C255="","Nominal kosong. ","")&amp;IF(N(Transaksi!$C255)&lt;0,"Nominal negatif. ","")&amp;IF(Transaksi!$B255="","Jenis belum diisi. ","")&amp;IF(Transaksi!$E255="","Kategori belum diisi. ","")&amp;IF(Transaksi!$A255&gt;TODAY(),"Tanggal di masa depan. ","")&amp;IF(COUNTIFS(Transaksi!$A$2:$A$501,Transaksi!$A255,Transaksi!$C$2:$C$501,Transaksi!$C255,Transaksi!$D$2:$D$501,Transaksi!$D255)&gt;1,"Kemungkinan duplikat. ","")))</f>
        <v/>
      </c>
    </row>
    <row r="267" ht="18" customHeight="1">
      <c r="B267" s="21">
        <f>IF(Transaksi!$A256="","",256)</f>
        <v/>
      </c>
      <c r="C267" s="20">
        <f>IF(Transaksi!$A256="","",Transaksi!$A256)</f>
        <v/>
      </c>
      <c r="D267" s="22">
        <f>IF(Transaksi!$A256="","",Transaksi!$C256)</f>
        <v/>
      </c>
      <c r="E267" s="21">
        <f>IF(Transaksi!$A256="","",Transaksi!$D256)</f>
        <v/>
      </c>
      <c r="F267" s="21">
        <f>IF(Transaksi!$A256="","",TRIM(IF(Transaksi!$C256="","Nominal kosong. ","")&amp;IF(N(Transaksi!$C256)&lt;0,"Nominal negatif. ","")&amp;IF(Transaksi!$B256="","Jenis belum diisi. ","")&amp;IF(Transaksi!$E256="","Kategori belum diisi. ","")&amp;IF(Transaksi!$A256&gt;TODAY(),"Tanggal di masa depan. ","")&amp;IF(COUNTIFS(Transaksi!$A$2:$A$501,Transaksi!$A256,Transaksi!$C$2:$C$501,Transaksi!$C256,Transaksi!$D$2:$D$501,Transaksi!$D256)&gt;1,"Kemungkinan duplikat. ","")))</f>
        <v/>
      </c>
    </row>
    <row r="268" ht="18" customHeight="1">
      <c r="B268" s="21">
        <f>IF(Transaksi!$A257="","",257)</f>
        <v/>
      </c>
      <c r="C268" s="20">
        <f>IF(Transaksi!$A257="","",Transaksi!$A257)</f>
        <v/>
      </c>
      <c r="D268" s="22">
        <f>IF(Transaksi!$A257="","",Transaksi!$C257)</f>
        <v/>
      </c>
      <c r="E268" s="21">
        <f>IF(Transaksi!$A257="","",Transaksi!$D257)</f>
        <v/>
      </c>
      <c r="F268" s="21">
        <f>IF(Transaksi!$A257="","",TRIM(IF(Transaksi!$C257="","Nominal kosong. ","")&amp;IF(N(Transaksi!$C257)&lt;0,"Nominal negatif. ","")&amp;IF(Transaksi!$B257="","Jenis belum diisi. ","")&amp;IF(Transaksi!$E257="","Kategori belum diisi. ","")&amp;IF(Transaksi!$A257&gt;TODAY(),"Tanggal di masa depan. ","")&amp;IF(COUNTIFS(Transaksi!$A$2:$A$501,Transaksi!$A257,Transaksi!$C$2:$C$501,Transaksi!$C257,Transaksi!$D$2:$D$501,Transaksi!$D257)&gt;1,"Kemungkinan duplikat. ","")))</f>
        <v/>
      </c>
    </row>
    <row r="269" ht="18" customHeight="1">
      <c r="B269" s="21">
        <f>IF(Transaksi!$A258="","",258)</f>
        <v/>
      </c>
      <c r="C269" s="20">
        <f>IF(Transaksi!$A258="","",Transaksi!$A258)</f>
        <v/>
      </c>
      <c r="D269" s="22">
        <f>IF(Transaksi!$A258="","",Transaksi!$C258)</f>
        <v/>
      </c>
      <c r="E269" s="21">
        <f>IF(Transaksi!$A258="","",Transaksi!$D258)</f>
        <v/>
      </c>
      <c r="F269" s="21">
        <f>IF(Transaksi!$A258="","",TRIM(IF(Transaksi!$C258="","Nominal kosong. ","")&amp;IF(N(Transaksi!$C258)&lt;0,"Nominal negatif. ","")&amp;IF(Transaksi!$B258="","Jenis belum diisi. ","")&amp;IF(Transaksi!$E258="","Kategori belum diisi. ","")&amp;IF(Transaksi!$A258&gt;TODAY(),"Tanggal di masa depan. ","")&amp;IF(COUNTIFS(Transaksi!$A$2:$A$501,Transaksi!$A258,Transaksi!$C$2:$C$501,Transaksi!$C258,Transaksi!$D$2:$D$501,Transaksi!$D258)&gt;1,"Kemungkinan duplikat. ","")))</f>
        <v/>
      </c>
    </row>
    <row r="270" ht="18" customHeight="1">
      <c r="B270" s="21">
        <f>IF(Transaksi!$A259="","",259)</f>
        <v/>
      </c>
      <c r="C270" s="20">
        <f>IF(Transaksi!$A259="","",Transaksi!$A259)</f>
        <v/>
      </c>
      <c r="D270" s="22">
        <f>IF(Transaksi!$A259="","",Transaksi!$C259)</f>
        <v/>
      </c>
      <c r="E270" s="21">
        <f>IF(Transaksi!$A259="","",Transaksi!$D259)</f>
        <v/>
      </c>
      <c r="F270" s="21">
        <f>IF(Transaksi!$A259="","",TRIM(IF(Transaksi!$C259="","Nominal kosong. ","")&amp;IF(N(Transaksi!$C259)&lt;0,"Nominal negatif. ","")&amp;IF(Transaksi!$B259="","Jenis belum diisi. ","")&amp;IF(Transaksi!$E259="","Kategori belum diisi. ","")&amp;IF(Transaksi!$A259&gt;TODAY(),"Tanggal di masa depan. ","")&amp;IF(COUNTIFS(Transaksi!$A$2:$A$501,Transaksi!$A259,Transaksi!$C$2:$C$501,Transaksi!$C259,Transaksi!$D$2:$D$501,Transaksi!$D259)&gt;1,"Kemungkinan duplikat. ","")))</f>
        <v/>
      </c>
    </row>
    <row r="271" ht="18" customHeight="1">
      <c r="B271" s="21">
        <f>IF(Transaksi!$A260="","",260)</f>
        <v/>
      </c>
      <c r="C271" s="20">
        <f>IF(Transaksi!$A260="","",Transaksi!$A260)</f>
        <v/>
      </c>
      <c r="D271" s="22">
        <f>IF(Transaksi!$A260="","",Transaksi!$C260)</f>
        <v/>
      </c>
      <c r="E271" s="21">
        <f>IF(Transaksi!$A260="","",Transaksi!$D260)</f>
        <v/>
      </c>
      <c r="F271" s="21">
        <f>IF(Transaksi!$A260="","",TRIM(IF(Transaksi!$C260="","Nominal kosong. ","")&amp;IF(N(Transaksi!$C260)&lt;0,"Nominal negatif. ","")&amp;IF(Transaksi!$B260="","Jenis belum diisi. ","")&amp;IF(Transaksi!$E260="","Kategori belum diisi. ","")&amp;IF(Transaksi!$A260&gt;TODAY(),"Tanggal di masa depan. ","")&amp;IF(COUNTIFS(Transaksi!$A$2:$A$501,Transaksi!$A260,Transaksi!$C$2:$C$501,Transaksi!$C260,Transaksi!$D$2:$D$501,Transaksi!$D260)&gt;1,"Kemungkinan duplikat. ","")))</f>
        <v/>
      </c>
    </row>
    <row r="272" ht="18" customHeight="1">
      <c r="B272" s="21">
        <f>IF(Transaksi!$A261="","",261)</f>
        <v/>
      </c>
      <c r="C272" s="20">
        <f>IF(Transaksi!$A261="","",Transaksi!$A261)</f>
        <v/>
      </c>
      <c r="D272" s="22">
        <f>IF(Transaksi!$A261="","",Transaksi!$C261)</f>
        <v/>
      </c>
      <c r="E272" s="21">
        <f>IF(Transaksi!$A261="","",Transaksi!$D261)</f>
        <v/>
      </c>
      <c r="F272" s="21">
        <f>IF(Transaksi!$A261="","",TRIM(IF(Transaksi!$C261="","Nominal kosong. ","")&amp;IF(N(Transaksi!$C261)&lt;0,"Nominal negatif. ","")&amp;IF(Transaksi!$B261="","Jenis belum diisi. ","")&amp;IF(Transaksi!$E261="","Kategori belum diisi. ","")&amp;IF(Transaksi!$A261&gt;TODAY(),"Tanggal di masa depan. ","")&amp;IF(COUNTIFS(Transaksi!$A$2:$A$501,Transaksi!$A261,Transaksi!$C$2:$C$501,Transaksi!$C261,Transaksi!$D$2:$D$501,Transaksi!$D261)&gt;1,"Kemungkinan duplikat. ","")))</f>
        <v/>
      </c>
    </row>
    <row r="273" ht="18" customHeight="1">
      <c r="B273" s="21">
        <f>IF(Transaksi!$A262="","",262)</f>
        <v/>
      </c>
      <c r="C273" s="20">
        <f>IF(Transaksi!$A262="","",Transaksi!$A262)</f>
        <v/>
      </c>
      <c r="D273" s="22">
        <f>IF(Transaksi!$A262="","",Transaksi!$C262)</f>
        <v/>
      </c>
      <c r="E273" s="21">
        <f>IF(Transaksi!$A262="","",Transaksi!$D262)</f>
        <v/>
      </c>
      <c r="F273" s="21">
        <f>IF(Transaksi!$A262="","",TRIM(IF(Transaksi!$C262="","Nominal kosong. ","")&amp;IF(N(Transaksi!$C262)&lt;0,"Nominal negatif. ","")&amp;IF(Transaksi!$B262="","Jenis belum diisi. ","")&amp;IF(Transaksi!$E262="","Kategori belum diisi. ","")&amp;IF(Transaksi!$A262&gt;TODAY(),"Tanggal di masa depan. ","")&amp;IF(COUNTIFS(Transaksi!$A$2:$A$501,Transaksi!$A262,Transaksi!$C$2:$C$501,Transaksi!$C262,Transaksi!$D$2:$D$501,Transaksi!$D262)&gt;1,"Kemungkinan duplikat. ","")))</f>
        <v/>
      </c>
    </row>
    <row r="274" ht="18" customHeight="1">
      <c r="B274" s="21">
        <f>IF(Transaksi!$A263="","",263)</f>
        <v/>
      </c>
      <c r="C274" s="20">
        <f>IF(Transaksi!$A263="","",Transaksi!$A263)</f>
        <v/>
      </c>
      <c r="D274" s="22">
        <f>IF(Transaksi!$A263="","",Transaksi!$C263)</f>
        <v/>
      </c>
      <c r="E274" s="21">
        <f>IF(Transaksi!$A263="","",Transaksi!$D263)</f>
        <v/>
      </c>
      <c r="F274" s="21">
        <f>IF(Transaksi!$A263="","",TRIM(IF(Transaksi!$C263="","Nominal kosong. ","")&amp;IF(N(Transaksi!$C263)&lt;0,"Nominal negatif. ","")&amp;IF(Transaksi!$B263="","Jenis belum diisi. ","")&amp;IF(Transaksi!$E263="","Kategori belum diisi. ","")&amp;IF(Transaksi!$A263&gt;TODAY(),"Tanggal di masa depan. ","")&amp;IF(COUNTIFS(Transaksi!$A$2:$A$501,Transaksi!$A263,Transaksi!$C$2:$C$501,Transaksi!$C263,Transaksi!$D$2:$D$501,Transaksi!$D263)&gt;1,"Kemungkinan duplikat. ","")))</f>
        <v/>
      </c>
    </row>
    <row r="275" ht="18" customHeight="1">
      <c r="B275" s="21">
        <f>IF(Transaksi!$A264="","",264)</f>
        <v/>
      </c>
      <c r="C275" s="20">
        <f>IF(Transaksi!$A264="","",Transaksi!$A264)</f>
        <v/>
      </c>
      <c r="D275" s="22">
        <f>IF(Transaksi!$A264="","",Transaksi!$C264)</f>
        <v/>
      </c>
      <c r="E275" s="21">
        <f>IF(Transaksi!$A264="","",Transaksi!$D264)</f>
        <v/>
      </c>
      <c r="F275" s="21">
        <f>IF(Transaksi!$A264="","",TRIM(IF(Transaksi!$C264="","Nominal kosong. ","")&amp;IF(N(Transaksi!$C264)&lt;0,"Nominal negatif. ","")&amp;IF(Transaksi!$B264="","Jenis belum diisi. ","")&amp;IF(Transaksi!$E264="","Kategori belum diisi. ","")&amp;IF(Transaksi!$A264&gt;TODAY(),"Tanggal di masa depan. ","")&amp;IF(COUNTIFS(Transaksi!$A$2:$A$501,Transaksi!$A264,Transaksi!$C$2:$C$501,Transaksi!$C264,Transaksi!$D$2:$D$501,Transaksi!$D264)&gt;1,"Kemungkinan duplikat. ","")))</f>
        <v/>
      </c>
    </row>
    <row r="276" ht="18" customHeight="1">
      <c r="B276" s="21">
        <f>IF(Transaksi!$A265="","",265)</f>
        <v/>
      </c>
      <c r="C276" s="20">
        <f>IF(Transaksi!$A265="","",Transaksi!$A265)</f>
        <v/>
      </c>
      <c r="D276" s="22">
        <f>IF(Transaksi!$A265="","",Transaksi!$C265)</f>
        <v/>
      </c>
      <c r="E276" s="21">
        <f>IF(Transaksi!$A265="","",Transaksi!$D265)</f>
        <v/>
      </c>
      <c r="F276" s="21">
        <f>IF(Transaksi!$A265="","",TRIM(IF(Transaksi!$C265="","Nominal kosong. ","")&amp;IF(N(Transaksi!$C265)&lt;0,"Nominal negatif. ","")&amp;IF(Transaksi!$B265="","Jenis belum diisi. ","")&amp;IF(Transaksi!$E265="","Kategori belum diisi. ","")&amp;IF(Transaksi!$A265&gt;TODAY(),"Tanggal di masa depan. ","")&amp;IF(COUNTIFS(Transaksi!$A$2:$A$501,Transaksi!$A265,Transaksi!$C$2:$C$501,Transaksi!$C265,Transaksi!$D$2:$D$501,Transaksi!$D265)&gt;1,"Kemungkinan duplikat. ","")))</f>
        <v/>
      </c>
    </row>
    <row r="277" ht="18" customHeight="1">
      <c r="B277" s="21">
        <f>IF(Transaksi!$A266="","",266)</f>
        <v/>
      </c>
      <c r="C277" s="20">
        <f>IF(Transaksi!$A266="","",Transaksi!$A266)</f>
        <v/>
      </c>
      <c r="D277" s="22">
        <f>IF(Transaksi!$A266="","",Transaksi!$C266)</f>
        <v/>
      </c>
      <c r="E277" s="21">
        <f>IF(Transaksi!$A266="","",Transaksi!$D266)</f>
        <v/>
      </c>
      <c r="F277" s="21">
        <f>IF(Transaksi!$A266="","",TRIM(IF(Transaksi!$C266="","Nominal kosong. ","")&amp;IF(N(Transaksi!$C266)&lt;0,"Nominal negatif. ","")&amp;IF(Transaksi!$B266="","Jenis belum diisi. ","")&amp;IF(Transaksi!$E266="","Kategori belum diisi. ","")&amp;IF(Transaksi!$A266&gt;TODAY(),"Tanggal di masa depan. ","")&amp;IF(COUNTIFS(Transaksi!$A$2:$A$501,Transaksi!$A266,Transaksi!$C$2:$C$501,Transaksi!$C266,Transaksi!$D$2:$D$501,Transaksi!$D266)&gt;1,"Kemungkinan duplikat. ","")))</f>
        <v/>
      </c>
    </row>
    <row r="278" ht="18" customHeight="1">
      <c r="B278" s="21">
        <f>IF(Transaksi!$A267="","",267)</f>
        <v/>
      </c>
      <c r="C278" s="20">
        <f>IF(Transaksi!$A267="","",Transaksi!$A267)</f>
        <v/>
      </c>
      <c r="D278" s="22">
        <f>IF(Transaksi!$A267="","",Transaksi!$C267)</f>
        <v/>
      </c>
      <c r="E278" s="21">
        <f>IF(Transaksi!$A267="","",Transaksi!$D267)</f>
        <v/>
      </c>
      <c r="F278" s="21">
        <f>IF(Transaksi!$A267="","",TRIM(IF(Transaksi!$C267="","Nominal kosong. ","")&amp;IF(N(Transaksi!$C267)&lt;0,"Nominal negatif. ","")&amp;IF(Transaksi!$B267="","Jenis belum diisi. ","")&amp;IF(Transaksi!$E267="","Kategori belum diisi. ","")&amp;IF(Transaksi!$A267&gt;TODAY(),"Tanggal di masa depan. ","")&amp;IF(COUNTIFS(Transaksi!$A$2:$A$501,Transaksi!$A267,Transaksi!$C$2:$C$501,Transaksi!$C267,Transaksi!$D$2:$D$501,Transaksi!$D267)&gt;1,"Kemungkinan duplikat. ","")))</f>
        <v/>
      </c>
    </row>
    <row r="279" ht="18" customHeight="1">
      <c r="B279" s="21">
        <f>IF(Transaksi!$A268="","",268)</f>
        <v/>
      </c>
      <c r="C279" s="20">
        <f>IF(Transaksi!$A268="","",Transaksi!$A268)</f>
        <v/>
      </c>
      <c r="D279" s="22">
        <f>IF(Transaksi!$A268="","",Transaksi!$C268)</f>
        <v/>
      </c>
      <c r="E279" s="21">
        <f>IF(Transaksi!$A268="","",Transaksi!$D268)</f>
        <v/>
      </c>
      <c r="F279" s="21">
        <f>IF(Transaksi!$A268="","",TRIM(IF(Transaksi!$C268="","Nominal kosong. ","")&amp;IF(N(Transaksi!$C268)&lt;0,"Nominal negatif. ","")&amp;IF(Transaksi!$B268="","Jenis belum diisi. ","")&amp;IF(Transaksi!$E268="","Kategori belum diisi. ","")&amp;IF(Transaksi!$A268&gt;TODAY(),"Tanggal di masa depan. ","")&amp;IF(COUNTIFS(Transaksi!$A$2:$A$501,Transaksi!$A268,Transaksi!$C$2:$C$501,Transaksi!$C268,Transaksi!$D$2:$D$501,Transaksi!$D268)&gt;1,"Kemungkinan duplikat. ","")))</f>
        <v/>
      </c>
    </row>
    <row r="280" ht="18" customHeight="1">
      <c r="B280" s="21">
        <f>IF(Transaksi!$A269="","",269)</f>
        <v/>
      </c>
      <c r="C280" s="20">
        <f>IF(Transaksi!$A269="","",Transaksi!$A269)</f>
        <v/>
      </c>
      <c r="D280" s="22">
        <f>IF(Transaksi!$A269="","",Transaksi!$C269)</f>
        <v/>
      </c>
      <c r="E280" s="21">
        <f>IF(Transaksi!$A269="","",Transaksi!$D269)</f>
        <v/>
      </c>
      <c r="F280" s="21">
        <f>IF(Transaksi!$A269="","",TRIM(IF(Transaksi!$C269="","Nominal kosong. ","")&amp;IF(N(Transaksi!$C269)&lt;0,"Nominal negatif. ","")&amp;IF(Transaksi!$B269="","Jenis belum diisi. ","")&amp;IF(Transaksi!$E269="","Kategori belum diisi. ","")&amp;IF(Transaksi!$A269&gt;TODAY(),"Tanggal di masa depan. ","")&amp;IF(COUNTIFS(Transaksi!$A$2:$A$501,Transaksi!$A269,Transaksi!$C$2:$C$501,Transaksi!$C269,Transaksi!$D$2:$D$501,Transaksi!$D269)&gt;1,"Kemungkinan duplikat. ","")))</f>
        <v/>
      </c>
    </row>
    <row r="281" ht="18" customHeight="1">
      <c r="B281" s="21">
        <f>IF(Transaksi!$A270="","",270)</f>
        <v/>
      </c>
      <c r="C281" s="20">
        <f>IF(Transaksi!$A270="","",Transaksi!$A270)</f>
        <v/>
      </c>
      <c r="D281" s="22">
        <f>IF(Transaksi!$A270="","",Transaksi!$C270)</f>
        <v/>
      </c>
      <c r="E281" s="21">
        <f>IF(Transaksi!$A270="","",Transaksi!$D270)</f>
        <v/>
      </c>
      <c r="F281" s="21">
        <f>IF(Transaksi!$A270="","",TRIM(IF(Transaksi!$C270="","Nominal kosong. ","")&amp;IF(N(Transaksi!$C270)&lt;0,"Nominal negatif. ","")&amp;IF(Transaksi!$B270="","Jenis belum diisi. ","")&amp;IF(Transaksi!$E270="","Kategori belum diisi. ","")&amp;IF(Transaksi!$A270&gt;TODAY(),"Tanggal di masa depan. ","")&amp;IF(COUNTIFS(Transaksi!$A$2:$A$501,Transaksi!$A270,Transaksi!$C$2:$C$501,Transaksi!$C270,Transaksi!$D$2:$D$501,Transaksi!$D270)&gt;1,"Kemungkinan duplikat. ","")))</f>
        <v/>
      </c>
    </row>
    <row r="282" ht="18" customHeight="1">
      <c r="B282" s="21">
        <f>IF(Transaksi!$A271="","",271)</f>
        <v/>
      </c>
      <c r="C282" s="20">
        <f>IF(Transaksi!$A271="","",Transaksi!$A271)</f>
        <v/>
      </c>
      <c r="D282" s="22">
        <f>IF(Transaksi!$A271="","",Transaksi!$C271)</f>
        <v/>
      </c>
      <c r="E282" s="21">
        <f>IF(Transaksi!$A271="","",Transaksi!$D271)</f>
        <v/>
      </c>
      <c r="F282" s="21">
        <f>IF(Transaksi!$A271="","",TRIM(IF(Transaksi!$C271="","Nominal kosong. ","")&amp;IF(N(Transaksi!$C271)&lt;0,"Nominal negatif. ","")&amp;IF(Transaksi!$B271="","Jenis belum diisi. ","")&amp;IF(Transaksi!$E271="","Kategori belum diisi. ","")&amp;IF(Transaksi!$A271&gt;TODAY(),"Tanggal di masa depan. ","")&amp;IF(COUNTIFS(Transaksi!$A$2:$A$501,Transaksi!$A271,Transaksi!$C$2:$C$501,Transaksi!$C271,Transaksi!$D$2:$D$501,Transaksi!$D271)&gt;1,"Kemungkinan duplikat. ","")))</f>
        <v/>
      </c>
    </row>
    <row r="283" ht="18" customHeight="1">
      <c r="B283" s="21">
        <f>IF(Transaksi!$A272="","",272)</f>
        <v/>
      </c>
      <c r="C283" s="20">
        <f>IF(Transaksi!$A272="","",Transaksi!$A272)</f>
        <v/>
      </c>
      <c r="D283" s="22">
        <f>IF(Transaksi!$A272="","",Transaksi!$C272)</f>
        <v/>
      </c>
      <c r="E283" s="21">
        <f>IF(Transaksi!$A272="","",Transaksi!$D272)</f>
        <v/>
      </c>
      <c r="F283" s="21">
        <f>IF(Transaksi!$A272="","",TRIM(IF(Transaksi!$C272="","Nominal kosong. ","")&amp;IF(N(Transaksi!$C272)&lt;0,"Nominal negatif. ","")&amp;IF(Transaksi!$B272="","Jenis belum diisi. ","")&amp;IF(Transaksi!$E272="","Kategori belum diisi. ","")&amp;IF(Transaksi!$A272&gt;TODAY(),"Tanggal di masa depan. ","")&amp;IF(COUNTIFS(Transaksi!$A$2:$A$501,Transaksi!$A272,Transaksi!$C$2:$C$501,Transaksi!$C272,Transaksi!$D$2:$D$501,Transaksi!$D272)&gt;1,"Kemungkinan duplikat. ","")))</f>
        <v/>
      </c>
    </row>
    <row r="284" ht="18" customHeight="1">
      <c r="B284" s="21">
        <f>IF(Transaksi!$A273="","",273)</f>
        <v/>
      </c>
      <c r="C284" s="20">
        <f>IF(Transaksi!$A273="","",Transaksi!$A273)</f>
        <v/>
      </c>
      <c r="D284" s="22">
        <f>IF(Transaksi!$A273="","",Transaksi!$C273)</f>
        <v/>
      </c>
      <c r="E284" s="21">
        <f>IF(Transaksi!$A273="","",Transaksi!$D273)</f>
        <v/>
      </c>
      <c r="F284" s="21">
        <f>IF(Transaksi!$A273="","",TRIM(IF(Transaksi!$C273="","Nominal kosong. ","")&amp;IF(N(Transaksi!$C273)&lt;0,"Nominal negatif. ","")&amp;IF(Transaksi!$B273="","Jenis belum diisi. ","")&amp;IF(Transaksi!$E273="","Kategori belum diisi. ","")&amp;IF(Transaksi!$A273&gt;TODAY(),"Tanggal di masa depan. ","")&amp;IF(COUNTIFS(Transaksi!$A$2:$A$501,Transaksi!$A273,Transaksi!$C$2:$C$501,Transaksi!$C273,Transaksi!$D$2:$D$501,Transaksi!$D273)&gt;1,"Kemungkinan duplikat. ","")))</f>
        <v/>
      </c>
    </row>
    <row r="285" ht="18" customHeight="1">
      <c r="B285" s="21">
        <f>IF(Transaksi!$A274="","",274)</f>
        <v/>
      </c>
      <c r="C285" s="20">
        <f>IF(Transaksi!$A274="","",Transaksi!$A274)</f>
        <v/>
      </c>
      <c r="D285" s="22">
        <f>IF(Transaksi!$A274="","",Transaksi!$C274)</f>
        <v/>
      </c>
      <c r="E285" s="21">
        <f>IF(Transaksi!$A274="","",Transaksi!$D274)</f>
        <v/>
      </c>
      <c r="F285" s="21">
        <f>IF(Transaksi!$A274="","",TRIM(IF(Transaksi!$C274="","Nominal kosong. ","")&amp;IF(N(Transaksi!$C274)&lt;0,"Nominal negatif. ","")&amp;IF(Transaksi!$B274="","Jenis belum diisi. ","")&amp;IF(Transaksi!$E274="","Kategori belum diisi. ","")&amp;IF(Transaksi!$A274&gt;TODAY(),"Tanggal di masa depan. ","")&amp;IF(COUNTIFS(Transaksi!$A$2:$A$501,Transaksi!$A274,Transaksi!$C$2:$C$501,Transaksi!$C274,Transaksi!$D$2:$D$501,Transaksi!$D274)&gt;1,"Kemungkinan duplikat. ","")))</f>
        <v/>
      </c>
    </row>
    <row r="286" ht="18" customHeight="1">
      <c r="B286" s="21">
        <f>IF(Transaksi!$A275="","",275)</f>
        <v/>
      </c>
      <c r="C286" s="20">
        <f>IF(Transaksi!$A275="","",Transaksi!$A275)</f>
        <v/>
      </c>
      <c r="D286" s="22">
        <f>IF(Transaksi!$A275="","",Transaksi!$C275)</f>
        <v/>
      </c>
      <c r="E286" s="21">
        <f>IF(Transaksi!$A275="","",Transaksi!$D275)</f>
        <v/>
      </c>
      <c r="F286" s="21">
        <f>IF(Transaksi!$A275="","",TRIM(IF(Transaksi!$C275="","Nominal kosong. ","")&amp;IF(N(Transaksi!$C275)&lt;0,"Nominal negatif. ","")&amp;IF(Transaksi!$B275="","Jenis belum diisi. ","")&amp;IF(Transaksi!$E275="","Kategori belum diisi. ","")&amp;IF(Transaksi!$A275&gt;TODAY(),"Tanggal di masa depan. ","")&amp;IF(COUNTIFS(Transaksi!$A$2:$A$501,Transaksi!$A275,Transaksi!$C$2:$C$501,Transaksi!$C275,Transaksi!$D$2:$D$501,Transaksi!$D275)&gt;1,"Kemungkinan duplikat. ","")))</f>
        <v/>
      </c>
    </row>
    <row r="287" ht="18" customHeight="1">
      <c r="B287" s="21">
        <f>IF(Transaksi!$A276="","",276)</f>
        <v/>
      </c>
      <c r="C287" s="20">
        <f>IF(Transaksi!$A276="","",Transaksi!$A276)</f>
        <v/>
      </c>
      <c r="D287" s="22">
        <f>IF(Transaksi!$A276="","",Transaksi!$C276)</f>
        <v/>
      </c>
      <c r="E287" s="21">
        <f>IF(Transaksi!$A276="","",Transaksi!$D276)</f>
        <v/>
      </c>
      <c r="F287" s="21">
        <f>IF(Transaksi!$A276="","",TRIM(IF(Transaksi!$C276="","Nominal kosong. ","")&amp;IF(N(Transaksi!$C276)&lt;0,"Nominal negatif. ","")&amp;IF(Transaksi!$B276="","Jenis belum diisi. ","")&amp;IF(Transaksi!$E276="","Kategori belum diisi. ","")&amp;IF(Transaksi!$A276&gt;TODAY(),"Tanggal di masa depan. ","")&amp;IF(COUNTIFS(Transaksi!$A$2:$A$501,Transaksi!$A276,Transaksi!$C$2:$C$501,Transaksi!$C276,Transaksi!$D$2:$D$501,Transaksi!$D276)&gt;1,"Kemungkinan duplikat. ","")))</f>
        <v/>
      </c>
    </row>
    <row r="288" ht="18" customHeight="1">
      <c r="B288" s="21">
        <f>IF(Transaksi!$A277="","",277)</f>
        <v/>
      </c>
      <c r="C288" s="20">
        <f>IF(Transaksi!$A277="","",Transaksi!$A277)</f>
        <v/>
      </c>
      <c r="D288" s="22">
        <f>IF(Transaksi!$A277="","",Transaksi!$C277)</f>
        <v/>
      </c>
      <c r="E288" s="21">
        <f>IF(Transaksi!$A277="","",Transaksi!$D277)</f>
        <v/>
      </c>
      <c r="F288" s="21">
        <f>IF(Transaksi!$A277="","",TRIM(IF(Transaksi!$C277="","Nominal kosong. ","")&amp;IF(N(Transaksi!$C277)&lt;0,"Nominal negatif. ","")&amp;IF(Transaksi!$B277="","Jenis belum diisi. ","")&amp;IF(Transaksi!$E277="","Kategori belum diisi. ","")&amp;IF(Transaksi!$A277&gt;TODAY(),"Tanggal di masa depan. ","")&amp;IF(COUNTIFS(Transaksi!$A$2:$A$501,Transaksi!$A277,Transaksi!$C$2:$C$501,Transaksi!$C277,Transaksi!$D$2:$D$501,Transaksi!$D277)&gt;1,"Kemungkinan duplikat. ","")))</f>
        <v/>
      </c>
    </row>
    <row r="289" ht="18" customHeight="1">
      <c r="B289" s="21">
        <f>IF(Transaksi!$A278="","",278)</f>
        <v/>
      </c>
      <c r="C289" s="20">
        <f>IF(Transaksi!$A278="","",Transaksi!$A278)</f>
        <v/>
      </c>
      <c r="D289" s="22">
        <f>IF(Transaksi!$A278="","",Transaksi!$C278)</f>
        <v/>
      </c>
      <c r="E289" s="21">
        <f>IF(Transaksi!$A278="","",Transaksi!$D278)</f>
        <v/>
      </c>
      <c r="F289" s="21">
        <f>IF(Transaksi!$A278="","",TRIM(IF(Transaksi!$C278="","Nominal kosong. ","")&amp;IF(N(Transaksi!$C278)&lt;0,"Nominal negatif. ","")&amp;IF(Transaksi!$B278="","Jenis belum diisi. ","")&amp;IF(Transaksi!$E278="","Kategori belum diisi. ","")&amp;IF(Transaksi!$A278&gt;TODAY(),"Tanggal di masa depan. ","")&amp;IF(COUNTIFS(Transaksi!$A$2:$A$501,Transaksi!$A278,Transaksi!$C$2:$C$501,Transaksi!$C278,Transaksi!$D$2:$D$501,Transaksi!$D278)&gt;1,"Kemungkinan duplikat. ","")))</f>
        <v/>
      </c>
    </row>
    <row r="290" ht="18" customHeight="1">
      <c r="B290" s="21">
        <f>IF(Transaksi!$A279="","",279)</f>
        <v/>
      </c>
      <c r="C290" s="20">
        <f>IF(Transaksi!$A279="","",Transaksi!$A279)</f>
        <v/>
      </c>
      <c r="D290" s="22">
        <f>IF(Transaksi!$A279="","",Transaksi!$C279)</f>
        <v/>
      </c>
      <c r="E290" s="21">
        <f>IF(Transaksi!$A279="","",Transaksi!$D279)</f>
        <v/>
      </c>
      <c r="F290" s="21">
        <f>IF(Transaksi!$A279="","",TRIM(IF(Transaksi!$C279="","Nominal kosong. ","")&amp;IF(N(Transaksi!$C279)&lt;0,"Nominal negatif. ","")&amp;IF(Transaksi!$B279="","Jenis belum diisi. ","")&amp;IF(Transaksi!$E279="","Kategori belum diisi. ","")&amp;IF(Transaksi!$A279&gt;TODAY(),"Tanggal di masa depan. ","")&amp;IF(COUNTIFS(Transaksi!$A$2:$A$501,Transaksi!$A279,Transaksi!$C$2:$C$501,Transaksi!$C279,Transaksi!$D$2:$D$501,Transaksi!$D279)&gt;1,"Kemungkinan duplikat. ","")))</f>
        <v/>
      </c>
    </row>
    <row r="291" ht="18" customHeight="1">
      <c r="B291" s="21">
        <f>IF(Transaksi!$A280="","",280)</f>
        <v/>
      </c>
      <c r="C291" s="20">
        <f>IF(Transaksi!$A280="","",Transaksi!$A280)</f>
        <v/>
      </c>
      <c r="D291" s="22">
        <f>IF(Transaksi!$A280="","",Transaksi!$C280)</f>
        <v/>
      </c>
      <c r="E291" s="21">
        <f>IF(Transaksi!$A280="","",Transaksi!$D280)</f>
        <v/>
      </c>
      <c r="F291" s="21">
        <f>IF(Transaksi!$A280="","",TRIM(IF(Transaksi!$C280="","Nominal kosong. ","")&amp;IF(N(Transaksi!$C280)&lt;0,"Nominal negatif. ","")&amp;IF(Transaksi!$B280="","Jenis belum diisi. ","")&amp;IF(Transaksi!$E280="","Kategori belum diisi. ","")&amp;IF(Transaksi!$A280&gt;TODAY(),"Tanggal di masa depan. ","")&amp;IF(COUNTIFS(Transaksi!$A$2:$A$501,Transaksi!$A280,Transaksi!$C$2:$C$501,Transaksi!$C280,Transaksi!$D$2:$D$501,Transaksi!$D280)&gt;1,"Kemungkinan duplikat. ","")))</f>
        <v/>
      </c>
    </row>
    <row r="292" ht="18" customHeight="1">
      <c r="B292" s="21">
        <f>IF(Transaksi!$A281="","",281)</f>
        <v/>
      </c>
      <c r="C292" s="20">
        <f>IF(Transaksi!$A281="","",Transaksi!$A281)</f>
        <v/>
      </c>
      <c r="D292" s="22">
        <f>IF(Transaksi!$A281="","",Transaksi!$C281)</f>
        <v/>
      </c>
      <c r="E292" s="21">
        <f>IF(Transaksi!$A281="","",Transaksi!$D281)</f>
        <v/>
      </c>
      <c r="F292" s="21">
        <f>IF(Transaksi!$A281="","",TRIM(IF(Transaksi!$C281="","Nominal kosong. ","")&amp;IF(N(Transaksi!$C281)&lt;0,"Nominal negatif. ","")&amp;IF(Transaksi!$B281="","Jenis belum diisi. ","")&amp;IF(Transaksi!$E281="","Kategori belum diisi. ","")&amp;IF(Transaksi!$A281&gt;TODAY(),"Tanggal di masa depan. ","")&amp;IF(COUNTIFS(Transaksi!$A$2:$A$501,Transaksi!$A281,Transaksi!$C$2:$C$501,Transaksi!$C281,Transaksi!$D$2:$D$501,Transaksi!$D281)&gt;1,"Kemungkinan duplikat. ","")))</f>
        <v/>
      </c>
    </row>
    <row r="293" ht="18" customHeight="1">
      <c r="B293" s="21">
        <f>IF(Transaksi!$A282="","",282)</f>
        <v/>
      </c>
      <c r="C293" s="20">
        <f>IF(Transaksi!$A282="","",Transaksi!$A282)</f>
        <v/>
      </c>
      <c r="D293" s="22">
        <f>IF(Transaksi!$A282="","",Transaksi!$C282)</f>
        <v/>
      </c>
      <c r="E293" s="21">
        <f>IF(Transaksi!$A282="","",Transaksi!$D282)</f>
        <v/>
      </c>
      <c r="F293" s="21">
        <f>IF(Transaksi!$A282="","",TRIM(IF(Transaksi!$C282="","Nominal kosong. ","")&amp;IF(N(Transaksi!$C282)&lt;0,"Nominal negatif. ","")&amp;IF(Transaksi!$B282="","Jenis belum diisi. ","")&amp;IF(Transaksi!$E282="","Kategori belum diisi. ","")&amp;IF(Transaksi!$A282&gt;TODAY(),"Tanggal di masa depan. ","")&amp;IF(COUNTIFS(Transaksi!$A$2:$A$501,Transaksi!$A282,Transaksi!$C$2:$C$501,Transaksi!$C282,Transaksi!$D$2:$D$501,Transaksi!$D282)&gt;1,"Kemungkinan duplikat. ","")))</f>
        <v/>
      </c>
    </row>
    <row r="294" ht="18" customHeight="1">
      <c r="B294" s="21">
        <f>IF(Transaksi!$A283="","",283)</f>
        <v/>
      </c>
      <c r="C294" s="20">
        <f>IF(Transaksi!$A283="","",Transaksi!$A283)</f>
        <v/>
      </c>
      <c r="D294" s="22">
        <f>IF(Transaksi!$A283="","",Transaksi!$C283)</f>
        <v/>
      </c>
      <c r="E294" s="21">
        <f>IF(Transaksi!$A283="","",Transaksi!$D283)</f>
        <v/>
      </c>
      <c r="F294" s="21">
        <f>IF(Transaksi!$A283="","",TRIM(IF(Transaksi!$C283="","Nominal kosong. ","")&amp;IF(N(Transaksi!$C283)&lt;0,"Nominal negatif. ","")&amp;IF(Transaksi!$B283="","Jenis belum diisi. ","")&amp;IF(Transaksi!$E283="","Kategori belum diisi. ","")&amp;IF(Transaksi!$A283&gt;TODAY(),"Tanggal di masa depan. ","")&amp;IF(COUNTIFS(Transaksi!$A$2:$A$501,Transaksi!$A283,Transaksi!$C$2:$C$501,Transaksi!$C283,Transaksi!$D$2:$D$501,Transaksi!$D283)&gt;1,"Kemungkinan duplikat. ","")))</f>
        <v/>
      </c>
    </row>
    <row r="295" ht="18" customHeight="1">
      <c r="B295" s="21">
        <f>IF(Transaksi!$A284="","",284)</f>
        <v/>
      </c>
      <c r="C295" s="20">
        <f>IF(Transaksi!$A284="","",Transaksi!$A284)</f>
        <v/>
      </c>
      <c r="D295" s="22">
        <f>IF(Transaksi!$A284="","",Transaksi!$C284)</f>
        <v/>
      </c>
      <c r="E295" s="21">
        <f>IF(Transaksi!$A284="","",Transaksi!$D284)</f>
        <v/>
      </c>
      <c r="F295" s="21">
        <f>IF(Transaksi!$A284="","",TRIM(IF(Transaksi!$C284="","Nominal kosong. ","")&amp;IF(N(Transaksi!$C284)&lt;0,"Nominal negatif. ","")&amp;IF(Transaksi!$B284="","Jenis belum diisi. ","")&amp;IF(Transaksi!$E284="","Kategori belum diisi. ","")&amp;IF(Transaksi!$A284&gt;TODAY(),"Tanggal di masa depan. ","")&amp;IF(COUNTIFS(Transaksi!$A$2:$A$501,Transaksi!$A284,Transaksi!$C$2:$C$501,Transaksi!$C284,Transaksi!$D$2:$D$501,Transaksi!$D284)&gt;1,"Kemungkinan duplikat. ","")))</f>
        <v/>
      </c>
    </row>
    <row r="296" ht="18" customHeight="1">
      <c r="B296" s="21">
        <f>IF(Transaksi!$A285="","",285)</f>
        <v/>
      </c>
      <c r="C296" s="20">
        <f>IF(Transaksi!$A285="","",Transaksi!$A285)</f>
        <v/>
      </c>
      <c r="D296" s="22">
        <f>IF(Transaksi!$A285="","",Transaksi!$C285)</f>
        <v/>
      </c>
      <c r="E296" s="21">
        <f>IF(Transaksi!$A285="","",Transaksi!$D285)</f>
        <v/>
      </c>
      <c r="F296" s="21">
        <f>IF(Transaksi!$A285="","",TRIM(IF(Transaksi!$C285="","Nominal kosong. ","")&amp;IF(N(Transaksi!$C285)&lt;0,"Nominal negatif. ","")&amp;IF(Transaksi!$B285="","Jenis belum diisi. ","")&amp;IF(Transaksi!$E285="","Kategori belum diisi. ","")&amp;IF(Transaksi!$A285&gt;TODAY(),"Tanggal di masa depan. ","")&amp;IF(COUNTIFS(Transaksi!$A$2:$A$501,Transaksi!$A285,Transaksi!$C$2:$C$501,Transaksi!$C285,Transaksi!$D$2:$D$501,Transaksi!$D285)&gt;1,"Kemungkinan duplikat. ","")))</f>
        <v/>
      </c>
    </row>
    <row r="297" ht="18" customHeight="1">
      <c r="B297" s="21">
        <f>IF(Transaksi!$A286="","",286)</f>
        <v/>
      </c>
      <c r="C297" s="20">
        <f>IF(Transaksi!$A286="","",Transaksi!$A286)</f>
        <v/>
      </c>
      <c r="D297" s="22">
        <f>IF(Transaksi!$A286="","",Transaksi!$C286)</f>
        <v/>
      </c>
      <c r="E297" s="21">
        <f>IF(Transaksi!$A286="","",Transaksi!$D286)</f>
        <v/>
      </c>
      <c r="F297" s="21">
        <f>IF(Transaksi!$A286="","",TRIM(IF(Transaksi!$C286="","Nominal kosong. ","")&amp;IF(N(Transaksi!$C286)&lt;0,"Nominal negatif. ","")&amp;IF(Transaksi!$B286="","Jenis belum diisi. ","")&amp;IF(Transaksi!$E286="","Kategori belum diisi. ","")&amp;IF(Transaksi!$A286&gt;TODAY(),"Tanggal di masa depan. ","")&amp;IF(COUNTIFS(Transaksi!$A$2:$A$501,Transaksi!$A286,Transaksi!$C$2:$C$501,Transaksi!$C286,Transaksi!$D$2:$D$501,Transaksi!$D286)&gt;1,"Kemungkinan duplikat. ","")))</f>
        <v/>
      </c>
    </row>
    <row r="298" ht="18" customHeight="1">
      <c r="B298" s="21">
        <f>IF(Transaksi!$A287="","",287)</f>
        <v/>
      </c>
      <c r="C298" s="20">
        <f>IF(Transaksi!$A287="","",Transaksi!$A287)</f>
        <v/>
      </c>
      <c r="D298" s="22">
        <f>IF(Transaksi!$A287="","",Transaksi!$C287)</f>
        <v/>
      </c>
      <c r="E298" s="21">
        <f>IF(Transaksi!$A287="","",Transaksi!$D287)</f>
        <v/>
      </c>
      <c r="F298" s="21">
        <f>IF(Transaksi!$A287="","",TRIM(IF(Transaksi!$C287="","Nominal kosong. ","")&amp;IF(N(Transaksi!$C287)&lt;0,"Nominal negatif. ","")&amp;IF(Transaksi!$B287="","Jenis belum diisi. ","")&amp;IF(Transaksi!$E287="","Kategori belum diisi. ","")&amp;IF(Transaksi!$A287&gt;TODAY(),"Tanggal di masa depan. ","")&amp;IF(COUNTIFS(Transaksi!$A$2:$A$501,Transaksi!$A287,Transaksi!$C$2:$C$501,Transaksi!$C287,Transaksi!$D$2:$D$501,Transaksi!$D287)&gt;1,"Kemungkinan duplikat. ","")))</f>
        <v/>
      </c>
    </row>
    <row r="299" ht="18" customHeight="1">
      <c r="B299" s="21">
        <f>IF(Transaksi!$A288="","",288)</f>
        <v/>
      </c>
      <c r="C299" s="20">
        <f>IF(Transaksi!$A288="","",Transaksi!$A288)</f>
        <v/>
      </c>
      <c r="D299" s="22">
        <f>IF(Transaksi!$A288="","",Transaksi!$C288)</f>
        <v/>
      </c>
      <c r="E299" s="21">
        <f>IF(Transaksi!$A288="","",Transaksi!$D288)</f>
        <v/>
      </c>
      <c r="F299" s="21">
        <f>IF(Transaksi!$A288="","",TRIM(IF(Transaksi!$C288="","Nominal kosong. ","")&amp;IF(N(Transaksi!$C288)&lt;0,"Nominal negatif. ","")&amp;IF(Transaksi!$B288="","Jenis belum diisi. ","")&amp;IF(Transaksi!$E288="","Kategori belum diisi. ","")&amp;IF(Transaksi!$A288&gt;TODAY(),"Tanggal di masa depan. ","")&amp;IF(COUNTIFS(Transaksi!$A$2:$A$501,Transaksi!$A288,Transaksi!$C$2:$C$501,Transaksi!$C288,Transaksi!$D$2:$D$501,Transaksi!$D288)&gt;1,"Kemungkinan duplikat. ","")))</f>
        <v/>
      </c>
    </row>
    <row r="300" ht="18" customHeight="1">
      <c r="B300" s="21">
        <f>IF(Transaksi!$A289="","",289)</f>
        <v/>
      </c>
      <c r="C300" s="20">
        <f>IF(Transaksi!$A289="","",Transaksi!$A289)</f>
        <v/>
      </c>
      <c r="D300" s="22">
        <f>IF(Transaksi!$A289="","",Transaksi!$C289)</f>
        <v/>
      </c>
      <c r="E300" s="21">
        <f>IF(Transaksi!$A289="","",Transaksi!$D289)</f>
        <v/>
      </c>
      <c r="F300" s="21">
        <f>IF(Transaksi!$A289="","",TRIM(IF(Transaksi!$C289="","Nominal kosong. ","")&amp;IF(N(Transaksi!$C289)&lt;0,"Nominal negatif. ","")&amp;IF(Transaksi!$B289="","Jenis belum diisi. ","")&amp;IF(Transaksi!$E289="","Kategori belum diisi. ","")&amp;IF(Transaksi!$A289&gt;TODAY(),"Tanggal di masa depan. ","")&amp;IF(COUNTIFS(Transaksi!$A$2:$A$501,Transaksi!$A289,Transaksi!$C$2:$C$501,Transaksi!$C289,Transaksi!$D$2:$D$501,Transaksi!$D289)&gt;1,"Kemungkinan duplikat. ","")))</f>
        <v/>
      </c>
    </row>
    <row r="301" ht="18" customHeight="1">
      <c r="B301" s="21">
        <f>IF(Transaksi!$A290="","",290)</f>
        <v/>
      </c>
      <c r="C301" s="20">
        <f>IF(Transaksi!$A290="","",Transaksi!$A290)</f>
        <v/>
      </c>
      <c r="D301" s="22">
        <f>IF(Transaksi!$A290="","",Transaksi!$C290)</f>
        <v/>
      </c>
      <c r="E301" s="21">
        <f>IF(Transaksi!$A290="","",Transaksi!$D290)</f>
        <v/>
      </c>
      <c r="F301" s="21">
        <f>IF(Transaksi!$A290="","",TRIM(IF(Transaksi!$C290="","Nominal kosong. ","")&amp;IF(N(Transaksi!$C290)&lt;0,"Nominal negatif. ","")&amp;IF(Transaksi!$B290="","Jenis belum diisi. ","")&amp;IF(Transaksi!$E290="","Kategori belum diisi. ","")&amp;IF(Transaksi!$A290&gt;TODAY(),"Tanggal di masa depan. ","")&amp;IF(COUNTIFS(Transaksi!$A$2:$A$501,Transaksi!$A290,Transaksi!$C$2:$C$501,Transaksi!$C290,Transaksi!$D$2:$D$501,Transaksi!$D290)&gt;1,"Kemungkinan duplikat. ","")))</f>
        <v/>
      </c>
    </row>
    <row r="302" ht="18" customHeight="1">
      <c r="B302" s="21">
        <f>IF(Transaksi!$A291="","",291)</f>
        <v/>
      </c>
      <c r="C302" s="20">
        <f>IF(Transaksi!$A291="","",Transaksi!$A291)</f>
        <v/>
      </c>
      <c r="D302" s="22">
        <f>IF(Transaksi!$A291="","",Transaksi!$C291)</f>
        <v/>
      </c>
      <c r="E302" s="21">
        <f>IF(Transaksi!$A291="","",Transaksi!$D291)</f>
        <v/>
      </c>
      <c r="F302" s="21">
        <f>IF(Transaksi!$A291="","",TRIM(IF(Transaksi!$C291="","Nominal kosong. ","")&amp;IF(N(Transaksi!$C291)&lt;0,"Nominal negatif. ","")&amp;IF(Transaksi!$B291="","Jenis belum diisi. ","")&amp;IF(Transaksi!$E291="","Kategori belum diisi. ","")&amp;IF(Transaksi!$A291&gt;TODAY(),"Tanggal di masa depan. ","")&amp;IF(COUNTIFS(Transaksi!$A$2:$A$501,Transaksi!$A291,Transaksi!$C$2:$C$501,Transaksi!$C291,Transaksi!$D$2:$D$501,Transaksi!$D291)&gt;1,"Kemungkinan duplikat. ","")))</f>
        <v/>
      </c>
    </row>
    <row r="303" ht="18" customHeight="1">
      <c r="B303" s="21">
        <f>IF(Transaksi!$A292="","",292)</f>
        <v/>
      </c>
      <c r="C303" s="20">
        <f>IF(Transaksi!$A292="","",Transaksi!$A292)</f>
        <v/>
      </c>
      <c r="D303" s="22">
        <f>IF(Transaksi!$A292="","",Transaksi!$C292)</f>
        <v/>
      </c>
      <c r="E303" s="21">
        <f>IF(Transaksi!$A292="","",Transaksi!$D292)</f>
        <v/>
      </c>
      <c r="F303" s="21">
        <f>IF(Transaksi!$A292="","",TRIM(IF(Transaksi!$C292="","Nominal kosong. ","")&amp;IF(N(Transaksi!$C292)&lt;0,"Nominal negatif. ","")&amp;IF(Transaksi!$B292="","Jenis belum diisi. ","")&amp;IF(Transaksi!$E292="","Kategori belum diisi. ","")&amp;IF(Transaksi!$A292&gt;TODAY(),"Tanggal di masa depan. ","")&amp;IF(COUNTIFS(Transaksi!$A$2:$A$501,Transaksi!$A292,Transaksi!$C$2:$C$501,Transaksi!$C292,Transaksi!$D$2:$D$501,Transaksi!$D292)&gt;1,"Kemungkinan duplikat. ","")))</f>
        <v/>
      </c>
    </row>
    <row r="304" ht="18" customHeight="1">
      <c r="B304" s="21">
        <f>IF(Transaksi!$A293="","",293)</f>
        <v/>
      </c>
      <c r="C304" s="20">
        <f>IF(Transaksi!$A293="","",Transaksi!$A293)</f>
        <v/>
      </c>
      <c r="D304" s="22">
        <f>IF(Transaksi!$A293="","",Transaksi!$C293)</f>
        <v/>
      </c>
      <c r="E304" s="21">
        <f>IF(Transaksi!$A293="","",Transaksi!$D293)</f>
        <v/>
      </c>
      <c r="F304" s="21">
        <f>IF(Transaksi!$A293="","",TRIM(IF(Transaksi!$C293="","Nominal kosong. ","")&amp;IF(N(Transaksi!$C293)&lt;0,"Nominal negatif. ","")&amp;IF(Transaksi!$B293="","Jenis belum diisi. ","")&amp;IF(Transaksi!$E293="","Kategori belum diisi. ","")&amp;IF(Transaksi!$A293&gt;TODAY(),"Tanggal di masa depan. ","")&amp;IF(COUNTIFS(Transaksi!$A$2:$A$501,Transaksi!$A293,Transaksi!$C$2:$C$501,Transaksi!$C293,Transaksi!$D$2:$D$501,Transaksi!$D293)&gt;1,"Kemungkinan duplikat. ","")))</f>
        <v/>
      </c>
    </row>
    <row r="305" ht="18" customHeight="1">
      <c r="B305" s="21">
        <f>IF(Transaksi!$A294="","",294)</f>
        <v/>
      </c>
      <c r="C305" s="20">
        <f>IF(Transaksi!$A294="","",Transaksi!$A294)</f>
        <v/>
      </c>
      <c r="D305" s="22">
        <f>IF(Transaksi!$A294="","",Transaksi!$C294)</f>
        <v/>
      </c>
      <c r="E305" s="21">
        <f>IF(Transaksi!$A294="","",Transaksi!$D294)</f>
        <v/>
      </c>
      <c r="F305" s="21">
        <f>IF(Transaksi!$A294="","",TRIM(IF(Transaksi!$C294="","Nominal kosong. ","")&amp;IF(N(Transaksi!$C294)&lt;0,"Nominal negatif. ","")&amp;IF(Transaksi!$B294="","Jenis belum diisi. ","")&amp;IF(Transaksi!$E294="","Kategori belum diisi. ","")&amp;IF(Transaksi!$A294&gt;TODAY(),"Tanggal di masa depan. ","")&amp;IF(COUNTIFS(Transaksi!$A$2:$A$501,Transaksi!$A294,Transaksi!$C$2:$C$501,Transaksi!$C294,Transaksi!$D$2:$D$501,Transaksi!$D294)&gt;1,"Kemungkinan duplikat. ","")))</f>
        <v/>
      </c>
    </row>
    <row r="306" ht="18" customHeight="1">
      <c r="B306" s="21">
        <f>IF(Transaksi!$A295="","",295)</f>
        <v/>
      </c>
      <c r="C306" s="20">
        <f>IF(Transaksi!$A295="","",Transaksi!$A295)</f>
        <v/>
      </c>
      <c r="D306" s="22">
        <f>IF(Transaksi!$A295="","",Transaksi!$C295)</f>
        <v/>
      </c>
      <c r="E306" s="21">
        <f>IF(Transaksi!$A295="","",Transaksi!$D295)</f>
        <v/>
      </c>
      <c r="F306" s="21">
        <f>IF(Transaksi!$A295="","",TRIM(IF(Transaksi!$C295="","Nominal kosong. ","")&amp;IF(N(Transaksi!$C295)&lt;0,"Nominal negatif. ","")&amp;IF(Transaksi!$B295="","Jenis belum diisi. ","")&amp;IF(Transaksi!$E295="","Kategori belum diisi. ","")&amp;IF(Transaksi!$A295&gt;TODAY(),"Tanggal di masa depan. ","")&amp;IF(COUNTIFS(Transaksi!$A$2:$A$501,Transaksi!$A295,Transaksi!$C$2:$C$501,Transaksi!$C295,Transaksi!$D$2:$D$501,Transaksi!$D295)&gt;1,"Kemungkinan duplikat. ","")))</f>
        <v/>
      </c>
    </row>
    <row r="307" ht="18" customHeight="1">
      <c r="B307" s="21">
        <f>IF(Transaksi!$A296="","",296)</f>
        <v/>
      </c>
      <c r="C307" s="20">
        <f>IF(Transaksi!$A296="","",Transaksi!$A296)</f>
        <v/>
      </c>
      <c r="D307" s="22">
        <f>IF(Transaksi!$A296="","",Transaksi!$C296)</f>
        <v/>
      </c>
      <c r="E307" s="21">
        <f>IF(Transaksi!$A296="","",Transaksi!$D296)</f>
        <v/>
      </c>
      <c r="F307" s="21">
        <f>IF(Transaksi!$A296="","",TRIM(IF(Transaksi!$C296="","Nominal kosong. ","")&amp;IF(N(Transaksi!$C296)&lt;0,"Nominal negatif. ","")&amp;IF(Transaksi!$B296="","Jenis belum diisi. ","")&amp;IF(Transaksi!$E296="","Kategori belum diisi. ","")&amp;IF(Transaksi!$A296&gt;TODAY(),"Tanggal di masa depan. ","")&amp;IF(COUNTIFS(Transaksi!$A$2:$A$501,Transaksi!$A296,Transaksi!$C$2:$C$501,Transaksi!$C296,Transaksi!$D$2:$D$501,Transaksi!$D296)&gt;1,"Kemungkinan duplikat. ","")))</f>
        <v/>
      </c>
    </row>
    <row r="308" ht="18" customHeight="1">
      <c r="B308" s="21">
        <f>IF(Transaksi!$A297="","",297)</f>
        <v/>
      </c>
      <c r="C308" s="20">
        <f>IF(Transaksi!$A297="","",Transaksi!$A297)</f>
        <v/>
      </c>
      <c r="D308" s="22">
        <f>IF(Transaksi!$A297="","",Transaksi!$C297)</f>
        <v/>
      </c>
      <c r="E308" s="21">
        <f>IF(Transaksi!$A297="","",Transaksi!$D297)</f>
        <v/>
      </c>
      <c r="F308" s="21">
        <f>IF(Transaksi!$A297="","",TRIM(IF(Transaksi!$C297="","Nominal kosong. ","")&amp;IF(N(Transaksi!$C297)&lt;0,"Nominal negatif. ","")&amp;IF(Transaksi!$B297="","Jenis belum diisi. ","")&amp;IF(Transaksi!$E297="","Kategori belum diisi. ","")&amp;IF(Transaksi!$A297&gt;TODAY(),"Tanggal di masa depan. ","")&amp;IF(COUNTIFS(Transaksi!$A$2:$A$501,Transaksi!$A297,Transaksi!$C$2:$C$501,Transaksi!$C297,Transaksi!$D$2:$D$501,Transaksi!$D297)&gt;1,"Kemungkinan duplikat. ","")))</f>
        <v/>
      </c>
    </row>
    <row r="309" ht="18" customHeight="1">
      <c r="B309" s="21">
        <f>IF(Transaksi!$A298="","",298)</f>
        <v/>
      </c>
      <c r="C309" s="20">
        <f>IF(Transaksi!$A298="","",Transaksi!$A298)</f>
        <v/>
      </c>
      <c r="D309" s="22">
        <f>IF(Transaksi!$A298="","",Transaksi!$C298)</f>
        <v/>
      </c>
      <c r="E309" s="21">
        <f>IF(Transaksi!$A298="","",Transaksi!$D298)</f>
        <v/>
      </c>
      <c r="F309" s="21">
        <f>IF(Transaksi!$A298="","",TRIM(IF(Transaksi!$C298="","Nominal kosong. ","")&amp;IF(N(Transaksi!$C298)&lt;0,"Nominal negatif. ","")&amp;IF(Transaksi!$B298="","Jenis belum diisi. ","")&amp;IF(Transaksi!$E298="","Kategori belum diisi. ","")&amp;IF(Transaksi!$A298&gt;TODAY(),"Tanggal di masa depan. ","")&amp;IF(COUNTIFS(Transaksi!$A$2:$A$501,Transaksi!$A298,Transaksi!$C$2:$C$501,Transaksi!$C298,Transaksi!$D$2:$D$501,Transaksi!$D298)&gt;1,"Kemungkinan duplikat. ","")))</f>
        <v/>
      </c>
    </row>
    <row r="310" ht="18" customHeight="1">
      <c r="B310" s="21">
        <f>IF(Transaksi!$A299="","",299)</f>
        <v/>
      </c>
      <c r="C310" s="20">
        <f>IF(Transaksi!$A299="","",Transaksi!$A299)</f>
        <v/>
      </c>
      <c r="D310" s="22">
        <f>IF(Transaksi!$A299="","",Transaksi!$C299)</f>
        <v/>
      </c>
      <c r="E310" s="21">
        <f>IF(Transaksi!$A299="","",Transaksi!$D299)</f>
        <v/>
      </c>
      <c r="F310" s="21">
        <f>IF(Transaksi!$A299="","",TRIM(IF(Transaksi!$C299="","Nominal kosong. ","")&amp;IF(N(Transaksi!$C299)&lt;0,"Nominal negatif. ","")&amp;IF(Transaksi!$B299="","Jenis belum diisi. ","")&amp;IF(Transaksi!$E299="","Kategori belum diisi. ","")&amp;IF(Transaksi!$A299&gt;TODAY(),"Tanggal di masa depan. ","")&amp;IF(COUNTIFS(Transaksi!$A$2:$A$501,Transaksi!$A299,Transaksi!$C$2:$C$501,Transaksi!$C299,Transaksi!$D$2:$D$501,Transaksi!$D299)&gt;1,"Kemungkinan duplikat. ","")))</f>
        <v/>
      </c>
    </row>
    <row r="311" ht="18" customHeight="1">
      <c r="B311" s="21">
        <f>IF(Transaksi!$A300="","",300)</f>
        <v/>
      </c>
      <c r="C311" s="20">
        <f>IF(Transaksi!$A300="","",Transaksi!$A300)</f>
        <v/>
      </c>
      <c r="D311" s="22">
        <f>IF(Transaksi!$A300="","",Transaksi!$C300)</f>
        <v/>
      </c>
      <c r="E311" s="21">
        <f>IF(Transaksi!$A300="","",Transaksi!$D300)</f>
        <v/>
      </c>
      <c r="F311" s="21">
        <f>IF(Transaksi!$A300="","",TRIM(IF(Transaksi!$C300="","Nominal kosong. ","")&amp;IF(N(Transaksi!$C300)&lt;0,"Nominal negatif. ","")&amp;IF(Transaksi!$B300="","Jenis belum diisi. ","")&amp;IF(Transaksi!$E300="","Kategori belum diisi. ","")&amp;IF(Transaksi!$A300&gt;TODAY(),"Tanggal di masa depan. ","")&amp;IF(COUNTIFS(Transaksi!$A$2:$A$501,Transaksi!$A300,Transaksi!$C$2:$C$501,Transaksi!$C300,Transaksi!$D$2:$D$501,Transaksi!$D300)&gt;1,"Kemungkinan duplikat. ","")))</f>
        <v/>
      </c>
    </row>
    <row r="312" ht="18" customHeight="1">
      <c r="B312" s="21">
        <f>IF(Transaksi!$A301="","",301)</f>
        <v/>
      </c>
      <c r="C312" s="20">
        <f>IF(Transaksi!$A301="","",Transaksi!$A301)</f>
        <v/>
      </c>
      <c r="D312" s="22">
        <f>IF(Transaksi!$A301="","",Transaksi!$C301)</f>
        <v/>
      </c>
      <c r="E312" s="21">
        <f>IF(Transaksi!$A301="","",Transaksi!$D301)</f>
        <v/>
      </c>
      <c r="F312" s="21">
        <f>IF(Transaksi!$A301="","",TRIM(IF(Transaksi!$C301="","Nominal kosong. ","")&amp;IF(N(Transaksi!$C301)&lt;0,"Nominal negatif. ","")&amp;IF(Transaksi!$B301="","Jenis belum diisi. ","")&amp;IF(Transaksi!$E301="","Kategori belum diisi. ","")&amp;IF(Transaksi!$A301&gt;TODAY(),"Tanggal di masa depan. ","")&amp;IF(COUNTIFS(Transaksi!$A$2:$A$501,Transaksi!$A301,Transaksi!$C$2:$C$501,Transaksi!$C301,Transaksi!$D$2:$D$501,Transaksi!$D301)&gt;1,"Kemungkinan duplikat. ","")))</f>
        <v/>
      </c>
    </row>
    <row r="313" ht="18" customHeight="1">
      <c r="B313" s="21">
        <f>IF(Transaksi!$A302="","",302)</f>
        <v/>
      </c>
      <c r="C313" s="20">
        <f>IF(Transaksi!$A302="","",Transaksi!$A302)</f>
        <v/>
      </c>
      <c r="D313" s="22">
        <f>IF(Transaksi!$A302="","",Transaksi!$C302)</f>
        <v/>
      </c>
      <c r="E313" s="21">
        <f>IF(Transaksi!$A302="","",Transaksi!$D302)</f>
        <v/>
      </c>
      <c r="F313" s="21">
        <f>IF(Transaksi!$A302="","",TRIM(IF(Transaksi!$C302="","Nominal kosong. ","")&amp;IF(N(Transaksi!$C302)&lt;0,"Nominal negatif. ","")&amp;IF(Transaksi!$B302="","Jenis belum diisi. ","")&amp;IF(Transaksi!$E302="","Kategori belum diisi. ","")&amp;IF(Transaksi!$A302&gt;TODAY(),"Tanggal di masa depan. ","")&amp;IF(COUNTIFS(Transaksi!$A$2:$A$501,Transaksi!$A302,Transaksi!$C$2:$C$501,Transaksi!$C302,Transaksi!$D$2:$D$501,Transaksi!$D302)&gt;1,"Kemungkinan duplikat. ","")))</f>
        <v/>
      </c>
    </row>
    <row r="314" ht="18" customHeight="1">
      <c r="B314" s="21">
        <f>IF(Transaksi!$A303="","",303)</f>
        <v/>
      </c>
      <c r="C314" s="20">
        <f>IF(Transaksi!$A303="","",Transaksi!$A303)</f>
        <v/>
      </c>
      <c r="D314" s="22">
        <f>IF(Transaksi!$A303="","",Transaksi!$C303)</f>
        <v/>
      </c>
      <c r="E314" s="21">
        <f>IF(Transaksi!$A303="","",Transaksi!$D303)</f>
        <v/>
      </c>
      <c r="F314" s="21">
        <f>IF(Transaksi!$A303="","",TRIM(IF(Transaksi!$C303="","Nominal kosong. ","")&amp;IF(N(Transaksi!$C303)&lt;0,"Nominal negatif. ","")&amp;IF(Transaksi!$B303="","Jenis belum diisi. ","")&amp;IF(Transaksi!$E303="","Kategori belum diisi. ","")&amp;IF(Transaksi!$A303&gt;TODAY(),"Tanggal di masa depan. ","")&amp;IF(COUNTIFS(Transaksi!$A$2:$A$501,Transaksi!$A303,Transaksi!$C$2:$C$501,Transaksi!$C303,Transaksi!$D$2:$D$501,Transaksi!$D303)&gt;1,"Kemungkinan duplikat. ","")))</f>
        <v/>
      </c>
    </row>
    <row r="315" ht="18" customHeight="1">
      <c r="B315" s="21">
        <f>IF(Transaksi!$A304="","",304)</f>
        <v/>
      </c>
      <c r="C315" s="20">
        <f>IF(Transaksi!$A304="","",Transaksi!$A304)</f>
        <v/>
      </c>
      <c r="D315" s="22">
        <f>IF(Transaksi!$A304="","",Transaksi!$C304)</f>
        <v/>
      </c>
      <c r="E315" s="21">
        <f>IF(Transaksi!$A304="","",Transaksi!$D304)</f>
        <v/>
      </c>
      <c r="F315" s="21">
        <f>IF(Transaksi!$A304="","",TRIM(IF(Transaksi!$C304="","Nominal kosong. ","")&amp;IF(N(Transaksi!$C304)&lt;0,"Nominal negatif. ","")&amp;IF(Transaksi!$B304="","Jenis belum diisi. ","")&amp;IF(Transaksi!$E304="","Kategori belum diisi. ","")&amp;IF(Transaksi!$A304&gt;TODAY(),"Tanggal di masa depan. ","")&amp;IF(COUNTIFS(Transaksi!$A$2:$A$501,Transaksi!$A304,Transaksi!$C$2:$C$501,Transaksi!$C304,Transaksi!$D$2:$D$501,Transaksi!$D304)&gt;1,"Kemungkinan duplikat. ","")))</f>
        <v/>
      </c>
    </row>
    <row r="316" ht="18" customHeight="1">
      <c r="B316" s="21">
        <f>IF(Transaksi!$A305="","",305)</f>
        <v/>
      </c>
      <c r="C316" s="20">
        <f>IF(Transaksi!$A305="","",Transaksi!$A305)</f>
        <v/>
      </c>
      <c r="D316" s="22">
        <f>IF(Transaksi!$A305="","",Transaksi!$C305)</f>
        <v/>
      </c>
      <c r="E316" s="21">
        <f>IF(Transaksi!$A305="","",Transaksi!$D305)</f>
        <v/>
      </c>
      <c r="F316" s="21">
        <f>IF(Transaksi!$A305="","",TRIM(IF(Transaksi!$C305="","Nominal kosong. ","")&amp;IF(N(Transaksi!$C305)&lt;0,"Nominal negatif. ","")&amp;IF(Transaksi!$B305="","Jenis belum diisi. ","")&amp;IF(Transaksi!$E305="","Kategori belum diisi. ","")&amp;IF(Transaksi!$A305&gt;TODAY(),"Tanggal di masa depan. ","")&amp;IF(COUNTIFS(Transaksi!$A$2:$A$501,Transaksi!$A305,Transaksi!$C$2:$C$501,Transaksi!$C305,Transaksi!$D$2:$D$501,Transaksi!$D305)&gt;1,"Kemungkinan duplikat. ","")))</f>
        <v/>
      </c>
    </row>
    <row r="317" ht="18" customHeight="1">
      <c r="B317" s="21">
        <f>IF(Transaksi!$A306="","",306)</f>
        <v/>
      </c>
      <c r="C317" s="20">
        <f>IF(Transaksi!$A306="","",Transaksi!$A306)</f>
        <v/>
      </c>
      <c r="D317" s="22">
        <f>IF(Transaksi!$A306="","",Transaksi!$C306)</f>
        <v/>
      </c>
      <c r="E317" s="21">
        <f>IF(Transaksi!$A306="","",Transaksi!$D306)</f>
        <v/>
      </c>
      <c r="F317" s="21">
        <f>IF(Transaksi!$A306="","",TRIM(IF(Transaksi!$C306="","Nominal kosong. ","")&amp;IF(N(Transaksi!$C306)&lt;0,"Nominal negatif. ","")&amp;IF(Transaksi!$B306="","Jenis belum diisi. ","")&amp;IF(Transaksi!$E306="","Kategori belum diisi. ","")&amp;IF(Transaksi!$A306&gt;TODAY(),"Tanggal di masa depan. ","")&amp;IF(COUNTIFS(Transaksi!$A$2:$A$501,Transaksi!$A306,Transaksi!$C$2:$C$501,Transaksi!$C306,Transaksi!$D$2:$D$501,Transaksi!$D306)&gt;1,"Kemungkinan duplikat. ","")))</f>
        <v/>
      </c>
    </row>
    <row r="318" ht="18" customHeight="1">
      <c r="B318" s="21">
        <f>IF(Transaksi!$A307="","",307)</f>
        <v/>
      </c>
      <c r="C318" s="20">
        <f>IF(Transaksi!$A307="","",Transaksi!$A307)</f>
        <v/>
      </c>
      <c r="D318" s="22">
        <f>IF(Transaksi!$A307="","",Transaksi!$C307)</f>
        <v/>
      </c>
      <c r="E318" s="21">
        <f>IF(Transaksi!$A307="","",Transaksi!$D307)</f>
        <v/>
      </c>
      <c r="F318" s="21">
        <f>IF(Transaksi!$A307="","",TRIM(IF(Transaksi!$C307="","Nominal kosong. ","")&amp;IF(N(Transaksi!$C307)&lt;0,"Nominal negatif. ","")&amp;IF(Transaksi!$B307="","Jenis belum diisi. ","")&amp;IF(Transaksi!$E307="","Kategori belum diisi. ","")&amp;IF(Transaksi!$A307&gt;TODAY(),"Tanggal di masa depan. ","")&amp;IF(COUNTIFS(Transaksi!$A$2:$A$501,Transaksi!$A307,Transaksi!$C$2:$C$501,Transaksi!$C307,Transaksi!$D$2:$D$501,Transaksi!$D307)&gt;1,"Kemungkinan duplikat. ","")))</f>
        <v/>
      </c>
    </row>
    <row r="319" ht="18" customHeight="1">
      <c r="B319" s="21">
        <f>IF(Transaksi!$A308="","",308)</f>
        <v/>
      </c>
      <c r="C319" s="20">
        <f>IF(Transaksi!$A308="","",Transaksi!$A308)</f>
        <v/>
      </c>
      <c r="D319" s="22">
        <f>IF(Transaksi!$A308="","",Transaksi!$C308)</f>
        <v/>
      </c>
      <c r="E319" s="21">
        <f>IF(Transaksi!$A308="","",Transaksi!$D308)</f>
        <v/>
      </c>
      <c r="F319" s="21">
        <f>IF(Transaksi!$A308="","",TRIM(IF(Transaksi!$C308="","Nominal kosong. ","")&amp;IF(N(Transaksi!$C308)&lt;0,"Nominal negatif. ","")&amp;IF(Transaksi!$B308="","Jenis belum diisi. ","")&amp;IF(Transaksi!$E308="","Kategori belum diisi. ","")&amp;IF(Transaksi!$A308&gt;TODAY(),"Tanggal di masa depan. ","")&amp;IF(COUNTIFS(Transaksi!$A$2:$A$501,Transaksi!$A308,Transaksi!$C$2:$C$501,Transaksi!$C308,Transaksi!$D$2:$D$501,Transaksi!$D308)&gt;1,"Kemungkinan duplikat. ","")))</f>
        <v/>
      </c>
    </row>
    <row r="320" ht="18" customHeight="1">
      <c r="B320" s="21">
        <f>IF(Transaksi!$A309="","",309)</f>
        <v/>
      </c>
      <c r="C320" s="20">
        <f>IF(Transaksi!$A309="","",Transaksi!$A309)</f>
        <v/>
      </c>
      <c r="D320" s="22">
        <f>IF(Transaksi!$A309="","",Transaksi!$C309)</f>
        <v/>
      </c>
      <c r="E320" s="21">
        <f>IF(Transaksi!$A309="","",Transaksi!$D309)</f>
        <v/>
      </c>
      <c r="F320" s="21">
        <f>IF(Transaksi!$A309="","",TRIM(IF(Transaksi!$C309="","Nominal kosong. ","")&amp;IF(N(Transaksi!$C309)&lt;0,"Nominal negatif. ","")&amp;IF(Transaksi!$B309="","Jenis belum diisi. ","")&amp;IF(Transaksi!$E309="","Kategori belum diisi. ","")&amp;IF(Transaksi!$A309&gt;TODAY(),"Tanggal di masa depan. ","")&amp;IF(COUNTIFS(Transaksi!$A$2:$A$501,Transaksi!$A309,Transaksi!$C$2:$C$501,Transaksi!$C309,Transaksi!$D$2:$D$501,Transaksi!$D309)&gt;1,"Kemungkinan duplikat. ","")))</f>
        <v/>
      </c>
    </row>
    <row r="321" ht="18" customHeight="1">
      <c r="B321" s="21">
        <f>IF(Transaksi!$A310="","",310)</f>
        <v/>
      </c>
      <c r="C321" s="20">
        <f>IF(Transaksi!$A310="","",Transaksi!$A310)</f>
        <v/>
      </c>
      <c r="D321" s="22">
        <f>IF(Transaksi!$A310="","",Transaksi!$C310)</f>
        <v/>
      </c>
      <c r="E321" s="21">
        <f>IF(Transaksi!$A310="","",Transaksi!$D310)</f>
        <v/>
      </c>
      <c r="F321" s="21">
        <f>IF(Transaksi!$A310="","",TRIM(IF(Transaksi!$C310="","Nominal kosong. ","")&amp;IF(N(Transaksi!$C310)&lt;0,"Nominal negatif. ","")&amp;IF(Transaksi!$B310="","Jenis belum diisi. ","")&amp;IF(Transaksi!$E310="","Kategori belum diisi. ","")&amp;IF(Transaksi!$A310&gt;TODAY(),"Tanggal di masa depan. ","")&amp;IF(COUNTIFS(Transaksi!$A$2:$A$501,Transaksi!$A310,Transaksi!$C$2:$C$501,Transaksi!$C310,Transaksi!$D$2:$D$501,Transaksi!$D310)&gt;1,"Kemungkinan duplikat. ","")))</f>
        <v/>
      </c>
    </row>
    <row r="322" ht="18" customHeight="1">
      <c r="B322" s="21">
        <f>IF(Transaksi!$A311="","",311)</f>
        <v/>
      </c>
      <c r="C322" s="20">
        <f>IF(Transaksi!$A311="","",Transaksi!$A311)</f>
        <v/>
      </c>
      <c r="D322" s="22">
        <f>IF(Transaksi!$A311="","",Transaksi!$C311)</f>
        <v/>
      </c>
      <c r="E322" s="21">
        <f>IF(Transaksi!$A311="","",Transaksi!$D311)</f>
        <v/>
      </c>
      <c r="F322" s="21">
        <f>IF(Transaksi!$A311="","",TRIM(IF(Transaksi!$C311="","Nominal kosong. ","")&amp;IF(N(Transaksi!$C311)&lt;0,"Nominal negatif. ","")&amp;IF(Transaksi!$B311="","Jenis belum diisi. ","")&amp;IF(Transaksi!$E311="","Kategori belum diisi. ","")&amp;IF(Transaksi!$A311&gt;TODAY(),"Tanggal di masa depan. ","")&amp;IF(COUNTIFS(Transaksi!$A$2:$A$501,Transaksi!$A311,Transaksi!$C$2:$C$501,Transaksi!$C311,Transaksi!$D$2:$D$501,Transaksi!$D311)&gt;1,"Kemungkinan duplikat. ","")))</f>
        <v/>
      </c>
    </row>
    <row r="323" ht="18" customHeight="1">
      <c r="B323" s="21">
        <f>IF(Transaksi!$A312="","",312)</f>
        <v/>
      </c>
      <c r="C323" s="20">
        <f>IF(Transaksi!$A312="","",Transaksi!$A312)</f>
        <v/>
      </c>
      <c r="D323" s="22">
        <f>IF(Transaksi!$A312="","",Transaksi!$C312)</f>
        <v/>
      </c>
      <c r="E323" s="21">
        <f>IF(Transaksi!$A312="","",Transaksi!$D312)</f>
        <v/>
      </c>
      <c r="F323" s="21">
        <f>IF(Transaksi!$A312="","",TRIM(IF(Transaksi!$C312="","Nominal kosong. ","")&amp;IF(N(Transaksi!$C312)&lt;0,"Nominal negatif. ","")&amp;IF(Transaksi!$B312="","Jenis belum diisi. ","")&amp;IF(Transaksi!$E312="","Kategori belum diisi. ","")&amp;IF(Transaksi!$A312&gt;TODAY(),"Tanggal di masa depan. ","")&amp;IF(COUNTIFS(Transaksi!$A$2:$A$501,Transaksi!$A312,Transaksi!$C$2:$C$501,Transaksi!$C312,Transaksi!$D$2:$D$501,Transaksi!$D312)&gt;1,"Kemungkinan duplikat. ","")))</f>
        <v/>
      </c>
    </row>
    <row r="324" ht="18" customHeight="1">
      <c r="B324" s="21">
        <f>IF(Transaksi!$A313="","",313)</f>
        <v/>
      </c>
      <c r="C324" s="20">
        <f>IF(Transaksi!$A313="","",Transaksi!$A313)</f>
        <v/>
      </c>
      <c r="D324" s="22">
        <f>IF(Transaksi!$A313="","",Transaksi!$C313)</f>
        <v/>
      </c>
      <c r="E324" s="21">
        <f>IF(Transaksi!$A313="","",Transaksi!$D313)</f>
        <v/>
      </c>
      <c r="F324" s="21">
        <f>IF(Transaksi!$A313="","",TRIM(IF(Transaksi!$C313="","Nominal kosong. ","")&amp;IF(N(Transaksi!$C313)&lt;0,"Nominal negatif. ","")&amp;IF(Transaksi!$B313="","Jenis belum diisi. ","")&amp;IF(Transaksi!$E313="","Kategori belum diisi. ","")&amp;IF(Transaksi!$A313&gt;TODAY(),"Tanggal di masa depan. ","")&amp;IF(COUNTIFS(Transaksi!$A$2:$A$501,Transaksi!$A313,Transaksi!$C$2:$C$501,Transaksi!$C313,Transaksi!$D$2:$D$501,Transaksi!$D313)&gt;1,"Kemungkinan duplikat. ","")))</f>
        <v/>
      </c>
    </row>
    <row r="325" ht="18" customHeight="1">
      <c r="B325" s="21">
        <f>IF(Transaksi!$A314="","",314)</f>
        <v/>
      </c>
      <c r="C325" s="20">
        <f>IF(Transaksi!$A314="","",Transaksi!$A314)</f>
        <v/>
      </c>
      <c r="D325" s="22">
        <f>IF(Transaksi!$A314="","",Transaksi!$C314)</f>
        <v/>
      </c>
      <c r="E325" s="21">
        <f>IF(Transaksi!$A314="","",Transaksi!$D314)</f>
        <v/>
      </c>
      <c r="F325" s="21">
        <f>IF(Transaksi!$A314="","",TRIM(IF(Transaksi!$C314="","Nominal kosong. ","")&amp;IF(N(Transaksi!$C314)&lt;0,"Nominal negatif. ","")&amp;IF(Transaksi!$B314="","Jenis belum diisi. ","")&amp;IF(Transaksi!$E314="","Kategori belum diisi. ","")&amp;IF(Transaksi!$A314&gt;TODAY(),"Tanggal di masa depan. ","")&amp;IF(COUNTIFS(Transaksi!$A$2:$A$501,Transaksi!$A314,Transaksi!$C$2:$C$501,Transaksi!$C314,Transaksi!$D$2:$D$501,Transaksi!$D314)&gt;1,"Kemungkinan duplikat. ","")))</f>
        <v/>
      </c>
    </row>
    <row r="326" ht="18" customHeight="1">
      <c r="B326" s="21">
        <f>IF(Transaksi!$A315="","",315)</f>
        <v/>
      </c>
      <c r="C326" s="20">
        <f>IF(Transaksi!$A315="","",Transaksi!$A315)</f>
        <v/>
      </c>
      <c r="D326" s="22">
        <f>IF(Transaksi!$A315="","",Transaksi!$C315)</f>
        <v/>
      </c>
      <c r="E326" s="21">
        <f>IF(Transaksi!$A315="","",Transaksi!$D315)</f>
        <v/>
      </c>
      <c r="F326" s="21">
        <f>IF(Transaksi!$A315="","",TRIM(IF(Transaksi!$C315="","Nominal kosong. ","")&amp;IF(N(Transaksi!$C315)&lt;0,"Nominal negatif. ","")&amp;IF(Transaksi!$B315="","Jenis belum diisi. ","")&amp;IF(Transaksi!$E315="","Kategori belum diisi. ","")&amp;IF(Transaksi!$A315&gt;TODAY(),"Tanggal di masa depan. ","")&amp;IF(COUNTIFS(Transaksi!$A$2:$A$501,Transaksi!$A315,Transaksi!$C$2:$C$501,Transaksi!$C315,Transaksi!$D$2:$D$501,Transaksi!$D315)&gt;1,"Kemungkinan duplikat. ","")))</f>
        <v/>
      </c>
    </row>
    <row r="327" ht="18" customHeight="1">
      <c r="B327" s="21">
        <f>IF(Transaksi!$A316="","",316)</f>
        <v/>
      </c>
      <c r="C327" s="20">
        <f>IF(Transaksi!$A316="","",Transaksi!$A316)</f>
        <v/>
      </c>
      <c r="D327" s="22">
        <f>IF(Transaksi!$A316="","",Transaksi!$C316)</f>
        <v/>
      </c>
      <c r="E327" s="21">
        <f>IF(Transaksi!$A316="","",Transaksi!$D316)</f>
        <v/>
      </c>
      <c r="F327" s="21">
        <f>IF(Transaksi!$A316="","",TRIM(IF(Transaksi!$C316="","Nominal kosong. ","")&amp;IF(N(Transaksi!$C316)&lt;0,"Nominal negatif. ","")&amp;IF(Transaksi!$B316="","Jenis belum diisi. ","")&amp;IF(Transaksi!$E316="","Kategori belum diisi. ","")&amp;IF(Transaksi!$A316&gt;TODAY(),"Tanggal di masa depan. ","")&amp;IF(COUNTIFS(Transaksi!$A$2:$A$501,Transaksi!$A316,Transaksi!$C$2:$C$501,Transaksi!$C316,Transaksi!$D$2:$D$501,Transaksi!$D316)&gt;1,"Kemungkinan duplikat. ","")))</f>
        <v/>
      </c>
    </row>
    <row r="328" ht="18" customHeight="1">
      <c r="B328" s="21">
        <f>IF(Transaksi!$A317="","",317)</f>
        <v/>
      </c>
      <c r="C328" s="20">
        <f>IF(Transaksi!$A317="","",Transaksi!$A317)</f>
        <v/>
      </c>
      <c r="D328" s="22">
        <f>IF(Transaksi!$A317="","",Transaksi!$C317)</f>
        <v/>
      </c>
      <c r="E328" s="21">
        <f>IF(Transaksi!$A317="","",Transaksi!$D317)</f>
        <v/>
      </c>
      <c r="F328" s="21">
        <f>IF(Transaksi!$A317="","",TRIM(IF(Transaksi!$C317="","Nominal kosong. ","")&amp;IF(N(Transaksi!$C317)&lt;0,"Nominal negatif. ","")&amp;IF(Transaksi!$B317="","Jenis belum diisi. ","")&amp;IF(Transaksi!$E317="","Kategori belum diisi. ","")&amp;IF(Transaksi!$A317&gt;TODAY(),"Tanggal di masa depan. ","")&amp;IF(COUNTIFS(Transaksi!$A$2:$A$501,Transaksi!$A317,Transaksi!$C$2:$C$501,Transaksi!$C317,Transaksi!$D$2:$D$501,Transaksi!$D317)&gt;1,"Kemungkinan duplikat. ","")))</f>
        <v/>
      </c>
    </row>
    <row r="329" ht="18" customHeight="1">
      <c r="B329" s="21">
        <f>IF(Transaksi!$A318="","",318)</f>
        <v/>
      </c>
      <c r="C329" s="20">
        <f>IF(Transaksi!$A318="","",Transaksi!$A318)</f>
        <v/>
      </c>
      <c r="D329" s="22">
        <f>IF(Transaksi!$A318="","",Transaksi!$C318)</f>
        <v/>
      </c>
      <c r="E329" s="21">
        <f>IF(Transaksi!$A318="","",Transaksi!$D318)</f>
        <v/>
      </c>
      <c r="F329" s="21">
        <f>IF(Transaksi!$A318="","",TRIM(IF(Transaksi!$C318="","Nominal kosong. ","")&amp;IF(N(Transaksi!$C318)&lt;0,"Nominal negatif. ","")&amp;IF(Transaksi!$B318="","Jenis belum diisi. ","")&amp;IF(Transaksi!$E318="","Kategori belum diisi. ","")&amp;IF(Transaksi!$A318&gt;TODAY(),"Tanggal di masa depan. ","")&amp;IF(COUNTIFS(Transaksi!$A$2:$A$501,Transaksi!$A318,Transaksi!$C$2:$C$501,Transaksi!$C318,Transaksi!$D$2:$D$501,Transaksi!$D318)&gt;1,"Kemungkinan duplikat. ","")))</f>
        <v/>
      </c>
    </row>
    <row r="330" ht="18" customHeight="1">
      <c r="B330" s="21">
        <f>IF(Transaksi!$A319="","",319)</f>
        <v/>
      </c>
      <c r="C330" s="20">
        <f>IF(Transaksi!$A319="","",Transaksi!$A319)</f>
        <v/>
      </c>
      <c r="D330" s="22">
        <f>IF(Transaksi!$A319="","",Transaksi!$C319)</f>
        <v/>
      </c>
      <c r="E330" s="21">
        <f>IF(Transaksi!$A319="","",Transaksi!$D319)</f>
        <v/>
      </c>
      <c r="F330" s="21">
        <f>IF(Transaksi!$A319="","",TRIM(IF(Transaksi!$C319="","Nominal kosong. ","")&amp;IF(N(Transaksi!$C319)&lt;0,"Nominal negatif. ","")&amp;IF(Transaksi!$B319="","Jenis belum diisi. ","")&amp;IF(Transaksi!$E319="","Kategori belum diisi. ","")&amp;IF(Transaksi!$A319&gt;TODAY(),"Tanggal di masa depan. ","")&amp;IF(COUNTIFS(Transaksi!$A$2:$A$501,Transaksi!$A319,Transaksi!$C$2:$C$501,Transaksi!$C319,Transaksi!$D$2:$D$501,Transaksi!$D319)&gt;1,"Kemungkinan duplikat. ","")))</f>
        <v/>
      </c>
    </row>
    <row r="331" ht="18" customHeight="1">
      <c r="B331" s="21">
        <f>IF(Transaksi!$A320="","",320)</f>
        <v/>
      </c>
      <c r="C331" s="20">
        <f>IF(Transaksi!$A320="","",Transaksi!$A320)</f>
        <v/>
      </c>
      <c r="D331" s="22">
        <f>IF(Transaksi!$A320="","",Transaksi!$C320)</f>
        <v/>
      </c>
      <c r="E331" s="21">
        <f>IF(Transaksi!$A320="","",Transaksi!$D320)</f>
        <v/>
      </c>
      <c r="F331" s="21">
        <f>IF(Transaksi!$A320="","",TRIM(IF(Transaksi!$C320="","Nominal kosong. ","")&amp;IF(N(Transaksi!$C320)&lt;0,"Nominal negatif. ","")&amp;IF(Transaksi!$B320="","Jenis belum diisi. ","")&amp;IF(Transaksi!$E320="","Kategori belum diisi. ","")&amp;IF(Transaksi!$A320&gt;TODAY(),"Tanggal di masa depan. ","")&amp;IF(COUNTIFS(Transaksi!$A$2:$A$501,Transaksi!$A320,Transaksi!$C$2:$C$501,Transaksi!$C320,Transaksi!$D$2:$D$501,Transaksi!$D320)&gt;1,"Kemungkinan duplikat. ","")))</f>
        <v/>
      </c>
    </row>
    <row r="332" ht="18" customHeight="1">
      <c r="B332" s="21">
        <f>IF(Transaksi!$A321="","",321)</f>
        <v/>
      </c>
      <c r="C332" s="20">
        <f>IF(Transaksi!$A321="","",Transaksi!$A321)</f>
        <v/>
      </c>
      <c r="D332" s="22">
        <f>IF(Transaksi!$A321="","",Transaksi!$C321)</f>
        <v/>
      </c>
      <c r="E332" s="21">
        <f>IF(Transaksi!$A321="","",Transaksi!$D321)</f>
        <v/>
      </c>
      <c r="F332" s="21">
        <f>IF(Transaksi!$A321="","",TRIM(IF(Transaksi!$C321="","Nominal kosong. ","")&amp;IF(N(Transaksi!$C321)&lt;0,"Nominal negatif. ","")&amp;IF(Transaksi!$B321="","Jenis belum diisi. ","")&amp;IF(Transaksi!$E321="","Kategori belum diisi. ","")&amp;IF(Transaksi!$A321&gt;TODAY(),"Tanggal di masa depan. ","")&amp;IF(COUNTIFS(Transaksi!$A$2:$A$501,Transaksi!$A321,Transaksi!$C$2:$C$501,Transaksi!$C321,Transaksi!$D$2:$D$501,Transaksi!$D321)&gt;1,"Kemungkinan duplikat. ","")))</f>
        <v/>
      </c>
    </row>
    <row r="333" ht="18" customHeight="1">
      <c r="B333" s="21">
        <f>IF(Transaksi!$A322="","",322)</f>
        <v/>
      </c>
      <c r="C333" s="20">
        <f>IF(Transaksi!$A322="","",Transaksi!$A322)</f>
        <v/>
      </c>
      <c r="D333" s="22">
        <f>IF(Transaksi!$A322="","",Transaksi!$C322)</f>
        <v/>
      </c>
      <c r="E333" s="21">
        <f>IF(Transaksi!$A322="","",Transaksi!$D322)</f>
        <v/>
      </c>
      <c r="F333" s="21">
        <f>IF(Transaksi!$A322="","",TRIM(IF(Transaksi!$C322="","Nominal kosong. ","")&amp;IF(N(Transaksi!$C322)&lt;0,"Nominal negatif. ","")&amp;IF(Transaksi!$B322="","Jenis belum diisi. ","")&amp;IF(Transaksi!$E322="","Kategori belum diisi. ","")&amp;IF(Transaksi!$A322&gt;TODAY(),"Tanggal di masa depan. ","")&amp;IF(COUNTIFS(Transaksi!$A$2:$A$501,Transaksi!$A322,Transaksi!$C$2:$C$501,Transaksi!$C322,Transaksi!$D$2:$D$501,Transaksi!$D322)&gt;1,"Kemungkinan duplikat. ","")))</f>
        <v/>
      </c>
    </row>
    <row r="334" ht="18" customHeight="1">
      <c r="B334" s="21">
        <f>IF(Transaksi!$A323="","",323)</f>
        <v/>
      </c>
      <c r="C334" s="20">
        <f>IF(Transaksi!$A323="","",Transaksi!$A323)</f>
        <v/>
      </c>
      <c r="D334" s="22">
        <f>IF(Transaksi!$A323="","",Transaksi!$C323)</f>
        <v/>
      </c>
      <c r="E334" s="21">
        <f>IF(Transaksi!$A323="","",Transaksi!$D323)</f>
        <v/>
      </c>
      <c r="F334" s="21">
        <f>IF(Transaksi!$A323="","",TRIM(IF(Transaksi!$C323="","Nominal kosong. ","")&amp;IF(N(Transaksi!$C323)&lt;0,"Nominal negatif. ","")&amp;IF(Transaksi!$B323="","Jenis belum diisi. ","")&amp;IF(Transaksi!$E323="","Kategori belum diisi. ","")&amp;IF(Transaksi!$A323&gt;TODAY(),"Tanggal di masa depan. ","")&amp;IF(COUNTIFS(Transaksi!$A$2:$A$501,Transaksi!$A323,Transaksi!$C$2:$C$501,Transaksi!$C323,Transaksi!$D$2:$D$501,Transaksi!$D323)&gt;1,"Kemungkinan duplikat. ","")))</f>
        <v/>
      </c>
    </row>
    <row r="335" ht="18" customHeight="1">
      <c r="B335" s="21">
        <f>IF(Transaksi!$A324="","",324)</f>
        <v/>
      </c>
      <c r="C335" s="20">
        <f>IF(Transaksi!$A324="","",Transaksi!$A324)</f>
        <v/>
      </c>
      <c r="D335" s="22">
        <f>IF(Transaksi!$A324="","",Transaksi!$C324)</f>
        <v/>
      </c>
      <c r="E335" s="21">
        <f>IF(Transaksi!$A324="","",Transaksi!$D324)</f>
        <v/>
      </c>
      <c r="F335" s="21">
        <f>IF(Transaksi!$A324="","",TRIM(IF(Transaksi!$C324="","Nominal kosong. ","")&amp;IF(N(Transaksi!$C324)&lt;0,"Nominal negatif. ","")&amp;IF(Transaksi!$B324="","Jenis belum diisi. ","")&amp;IF(Transaksi!$E324="","Kategori belum diisi. ","")&amp;IF(Transaksi!$A324&gt;TODAY(),"Tanggal di masa depan. ","")&amp;IF(COUNTIFS(Transaksi!$A$2:$A$501,Transaksi!$A324,Transaksi!$C$2:$C$501,Transaksi!$C324,Transaksi!$D$2:$D$501,Transaksi!$D324)&gt;1,"Kemungkinan duplikat. ","")))</f>
        <v/>
      </c>
    </row>
    <row r="336" ht="18" customHeight="1">
      <c r="B336" s="21">
        <f>IF(Transaksi!$A325="","",325)</f>
        <v/>
      </c>
      <c r="C336" s="20">
        <f>IF(Transaksi!$A325="","",Transaksi!$A325)</f>
        <v/>
      </c>
      <c r="D336" s="22">
        <f>IF(Transaksi!$A325="","",Transaksi!$C325)</f>
        <v/>
      </c>
      <c r="E336" s="21">
        <f>IF(Transaksi!$A325="","",Transaksi!$D325)</f>
        <v/>
      </c>
      <c r="F336" s="21">
        <f>IF(Transaksi!$A325="","",TRIM(IF(Transaksi!$C325="","Nominal kosong. ","")&amp;IF(N(Transaksi!$C325)&lt;0,"Nominal negatif. ","")&amp;IF(Transaksi!$B325="","Jenis belum diisi. ","")&amp;IF(Transaksi!$E325="","Kategori belum diisi. ","")&amp;IF(Transaksi!$A325&gt;TODAY(),"Tanggal di masa depan. ","")&amp;IF(COUNTIFS(Transaksi!$A$2:$A$501,Transaksi!$A325,Transaksi!$C$2:$C$501,Transaksi!$C325,Transaksi!$D$2:$D$501,Transaksi!$D325)&gt;1,"Kemungkinan duplikat. ","")))</f>
        <v/>
      </c>
    </row>
    <row r="337" ht="18" customHeight="1">
      <c r="B337" s="21">
        <f>IF(Transaksi!$A326="","",326)</f>
        <v/>
      </c>
      <c r="C337" s="20">
        <f>IF(Transaksi!$A326="","",Transaksi!$A326)</f>
        <v/>
      </c>
      <c r="D337" s="22">
        <f>IF(Transaksi!$A326="","",Transaksi!$C326)</f>
        <v/>
      </c>
      <c r="E337" s="21">
        <f>IF(Transaksi!$A326="","",Transaksi!$D326)</f>
        <v/>
      </c>
      <c r="F337" s="21">
        <f>IF(Transaksi!$A326="","",TRIM(IF(Transaksi!$C326="","Nominal kosong. ","")&amp;IF(N(Transaksi!$C326)&lt;0,"Nominal negatif. ","")&amp;IF(Transaksi!$B326="","Jenis belum diisi. ","")&amp;IF(Transaksi!$E326="","Kategori belum diisi. ","")&amp;IF(Transaksi!$A326&gt;TODAY(),"Tanggal di masa depan. ","")&amp;IF(COUNTIFS(Transaksi!$A$2:$A$501,Transaksi!$A326,Transaksi!$C$2:$C$501,Transaksi!$C326,Transaksi!$D$2:$D$501,Transaksi!$D326)&gt;1,"Kemungkinan duplikat. ","")))</f>
        <v/>
      </c>
    </row>
    <row r="338" ht="18" customHeight="1">
      <c r="B338" s="21">
        <f>IF(Transaksi!$A327="","",327)</f>
        <v/>
      </c>
      <c r="C338" s="20">
        <f>IF(Transaksi!$A327="","",Transaksi!$A327)</f>
        <v/>
      </c>
      <c r="D338" s="22">
        <f>IF(Transaksi!$A327="","",Transaksi!$C327)</f>
        <v/>
      </c>
      <c r="E338" s="21">
        <f>IF(Transaksi!$A327="","",Transaksi!$D327)</f>
        <v/>
      </c>
      <c r="F338" s="21">
        <f>IF(Transaksi!$A327="","",TRIM(IF(Transaksi!$C327="","Nominal kosong. ","")&amp;IF(N(Transaksi!$C327)&lt;0,"Nominal negatif. ","")&amp;IF(Transaksi!$B327="","Jenis belum diisi. ","")&amp;IF(Transaksi!$E327="","Kategori belum diisi. ","")&amp;IF(Transaksi!$A327&gt;TODAY(),"Tanggal di masa depan. ","")&amp;IF(COUNTIFS(Transaksi!$A$2:$A$501,Transaksi!$A327,Transaksi!$C$2:$C$501,Transaksi!$C327,Transaksi!$D$2:$D$501,Transaksi!$D327)&gt;1,"Kemungkinan duplikat. ","")))</f>
        <v/>
      </c>
    </row>
    <row r="339" ht="18" customHeight="1">
      <c r="B339" s="21">
        <f>IF(Transaksi!$A328="","",328)</f>
        <v/>
      </c>
      <c r="C339" s="20">
        <f>IF(Transaksi!$A328="","",Transaksi!$A328)</f>
        <v/>
      </c>
      <c r="D339" s="22">
        <f>IF(Transaksi!$A328="","",Transaksi!$C328)</f>
        <v/>
      </c>
      <c r="E339" s="21">
        <f>IF(Transaksi!$A328="","",Transaksi!$D328)</f>
        <v/>
      </c>
      <c r="F339" s="21">
        <f>IF(Transaksi!$A328="","",TRIM(IF(Transaksi!$C328="","Nominal kosong. ","")&amp;IF(N(Transaksi!$C328)&lt;0,"Nominal negatif. ","")&amp;IF(Transaksi!$B328="","Jenis belum diisi. ","")&amp;IF(Transaksi!$E328="","Kategori belum diisi. ","")&amp;IF(Transaksi!$A328&gt;TODAY(),"Tanggal di masa depan. ","")&amp;IF(COUNTIFS(Transaksi!$A$2:$A$501,Transaksi!$A328,Transaksi!$C$2:$C$501,Transaksi!$C328,Transaksi!$D$2:$D$501,Transaksi!$D328)&gt;1,"Kemungkinan duplikat. ","")))</f>
        <v/>
      </c>
    </row>
    <row r="340" ht="18" customHeight="1">
      <c r="B340" s="21">
        <f>IF(Transaksi!$A329="","",329)</f>
        <v/>
      </c>
      <c r="C340" s="20">
        <f>IF(Transaksi!$A329="","",Transaksi!$A329)</f>
        <v/>
      </c>
      <c r="D340" s="22">
        <f>IF(Transaksi!$A329="","",Transaksi!$C329)</f>
        <v/>
      </c>
      <c r="E340" s="21">
        <f>IF(Transaksi!$A329="","",Transaksi!$D329)</f>
        <v/>
      </c>
      <c r="F340" s="21">
        <f>IF(Transaksi!$A329="","",TRIM(IF(Transaksi!$C329="","Nominal kosong. ","")&amp;IF(N(Transaksi!$C329)&lt;0,"Nominal negatif. ","")&amp;IF(Transaksi!$B329="","Jenis belum diisi. ","")&amp;IF(Transaksi!$E329="","Kategori belum diisi. ","")&amp;IF(Transaksi!$A329&gt;TODAY(),"Tanggal di masa depan. ","")&amp;IF(COUNTIFS(Transaksi!$A$2:$A$501,Transaksi!$A329,Transaksi!$C$2:$C$501,Transaksi!$C329,Transaksi!$D$2:$D$501,Transaksi!$D329)&gt;1,"Kemungkinan duplikat. ","")))</f>
        <v/>
      </c>
    </row>
    <row r="341" ht="18" customHeight="1">
      <c r="B341" s="21">
        <f>IF(Transaksi!$A330="","",330)</f>
        <v/>
      </c>
      <c r="C341" s="20">
        <f>IF(Transaksi!$A330="","",Transaksi!$A330)</f>
        <v/>
      </c>
      <c r="D341" s="22">
        <f>IF(Transaksi!$A330="","",Transaksi!$C330)</f>
        <v/>
      </c>
      <c r="E341" s="21">
        <f>IF(Transaksi!$A330="","",Transaksi!$D330)</f>
        <v/>
      </c>
      <c r="F341" s="21">
        <f>IF(Transaksi!$A330="","",TRIM(IF(Transaksi!$C330="","Nominal kosong. ","")&amp;IF(N(Transaksi!$C330)&lt;0,"Nominal negatif. ","")&amp;IF(Transaksi!$B330="","Jenis belum diisi. ","")&amp;IF(Transaksi!$E330="","Kategori belum diisi. ","")&amp;IF(Transaksi!$A330&gt;TODAY(),"Tanggal di masa depan. ","")&amp;IF(COUNTIFS(Transaksi!$A$2:$A$501,Transaksi!$A330,Transaksi!$C$2:$C$501,Transaksi!$C330,Transaksi!$D$2:$D$501,Transaksi!$D330)&gt;1,"Kemungkinan duplikat. ","")))</f>
        <v/>
      </c>
    </row>
    <row r="342" ht="18" customHeight="1">
      <c r="B342" s="21">
        <f>IF(Transaksi!$A331="","",331)</f>
        <v/>
      </c>
      <c r="C342" s="20">
        <f>IF(Transaksi!$A331="","",Transaksi!$A331)</f>
        <v/>
      </c>
      <c r="D342" s="22">
        <f>IF(Transaksi!$A331="","",Transaksi!$C331)</f>
        <v/>
      </c>
      <c r="E342" s="21">
        <f>IF(Transaksi!$A331="","",Transaksi!$D331)</f>
        <v/>
      </c>
      <c r="F342" s="21">
        <f>IF(Transaksi!$A331="","",TRIM(IF(Transaksi!$C331="","Nominal kosong. ","")&amp;IF(N(Transaksi!$C331)&lt;0,"Nominal negatif. ","")&amp;IF(Transaksi!$B331="","Jenis belum diisi. ","")&amp;IF(Transaksi!$E331="","Kategori belum diisi. ","")&amp;IF(Transaksi!$A331&gt;TODAY(),"Tanggal di masa depan. ","")&amp;IF(COUNTIFS(Transaksi!$A$2:$A$501,Transaksi!$A331,Transaksi!$C$2:$C$501,Transaksi!$C331,Transaksi!$D$2:$D$501,Transaksi!$D331)&gt;1,"Kemungkinan duplikat. ","")))</f>
        <v/>
      </c>
    </row>
    <row r="343" ht="18" customHeight="1">
      <c r="B343" s="21">
        <f>IF(Transaksi!$A332="","",332)</f>
        <v/>
      </c>
      <c r="C343" s="20">
        <f>IF(Transaksi!$A332="","",Transaksi!$A332)</f>
        <v/>
      </c>
      <c r="D343" s="22">
        <f>IF(Transaksi!$A332="","",Transaksi!$C332)</f>
        <v/>
      </c>
      <c r="E343" s="21">
        <f>IF(Transaksi!$A332="","",Transaksi!$D332)</f>
        <v/>
      </c>
      <c r="F343" s="21">
        <f>IF(Transaksi!$A332="","",TRIM(IF(Transaksi!$C332="","Nominal kosong. ","")&amp;IF(N(Transaksi!$C332)&lt;0,"Nominal negatif. ","")&amp;IF(Transaksi!$B332="","Jenis belum diisi. ","")&amp;IF(Transaksi!$E332="","Kategori belum diisi. ","")&amp;IF(Transaksi!$A332&gt;TODAY(),"Tanggal di masa depan. ","")&amp;IF(COUNTIFS(Transaksi!$A$2:$A$501,Transaksi!$A332,Transaksi!$C$2:$C$501,Transaksi!$C332,Transaksi!$D$2:$D$501,Transaksi!$D332)&gt;1,"Kemungkinan duplikat. ","")))</f>
        <v/>
      </c>
    </row>
    <row r="344" ht="18" customHeight="1">
      <c r="B344" s="21">
        <f>IF(Transaksi!$A333="","",333)</f>
        <v/>
      </c>
      <c r="C344" s="20">
        <f>IF(Transaksi!$A333="","",Transaksi!$A333)</f>
        <v/>
      </c>
      <c r="D344" s="22">
        <f>IF(Transaksi!$A333="","",Transaksi!$C333)</f>
        <v/>
      </c>
      <c r="E344" s="21">
        <f>IF(Transaksi!$A333="","",Transaksi!$D333)</f>
        <v/>
      </c>
      <c r="F344" s="21">
        <f>IF(Transaksi!$A333="","",TRIM(IF(Transaksi!$C333="","Nominal kosong. ","")&amp;IF(N(Transaksi!$C333)&lt;0,"Nominal negatif. ","")&amp;IF(Transaksi!$B333="","Jenis belum diisi. ","")&amp;IF(Transaksi!$E333="","Kategori belum diisi. ","")&amp;IF(Transaksi!$A333&gt;TODAY(),"Tanggal di masa depan. ","")&amp;IF(COUNTIFS(Transaksi!$A$2:$A$501,Transaksi!$A333,Transaksi!$C$2:$C$501,Transaksi!$C333,Transaksi!$D$2:$D$501,Transaksi!$D333)&gt;1,"Kemungkinan duplikat. ","")))</f>
        <v/>
      </c>
    </row>
    <row r="345" ht="18" customHeight="1">
      <c r="B345" s="21">
        <f>IF(Transaksi!$A334="","",334)</f>
        <v/>
      </c>
      <c r="C345" s="20">
        <f>IF(Transaksi!$A334="","",Transaksi!$A334)</f>
        <v/>
      </c>
      <c r="D345" s="22">
        <f>IF(Transaksi!$A334="","",Transaksi!$C334)</f>
        <v/>
      </c>
      <c r="E345" s="21">
        <f>IF(Transaksi!$A334="","",Transaksi!$D334)</f>
        <v/>
      </c>
      <c r="F345" s="21">
        <f>IF(Transaksi!$A334="","",TRIM(IF(Transaksi!$C334="","Nominal kosong. ","")&amp;IF(N(Transaksi!$C334)&lt;0,"Nominal negatif. ","")&amp;IF(Transaksi!$B334="","Jenis belum diisi. ","")&amp;IF(Transaksi!$E334="","Kategori belum diisi. ","")&amp;IF(Transaksi!$A334&gt;TODAY(),"Tanggal di masa depan. ","")&amp;IF(COUNTIFS(Transaksi!$A$2:$A$501,Transaksi!$A334,Transaksi!$C$2:$C$501,Transaksi!$C334,Transaksi!$D$2:$D$501,Transaksi!$D334)&gt;1,"Kemungkinan duplikat. ","")))</f>
        <v/>
      </c>
    </row>
    <row r="346" ht="18" customHeight="1">
      <c r="B346" s="21">
        <f>IF(Transaksi!$A335="","",335)</f>
        <v/>
      </c>
      <c r="C346" s="20">
        <f>IF(Transaksi!$A335="","",Transaksi!$A335)</f>
        <v/>
      </c>
      <c r="D346" s="22">
        <f>IF(Transaksi!$A335="","",Transaksi!$C335)</f>
        <v/>
      </c>
      <c r="E346" s="21">
        <f>IF(Transaksi!$A335="","",Transaksi!$D335)</f>
        <v/>
      </c>
      <c r="F346" s="21">
        <f>IF(Transaksi!$A335="","",TRIM(IF(Transaksi!$C335="","Nominal kosong. ","")&amp;IF(N(Transaksi!$C335)&lt;0,"Nominal negatif. ","")&amp;IF(Transaksi!$B335="","Jenis belum diisi. ","")&amp;IF(Transaksi!$E335="","Kategori belum diisi. ","")&amp;IF(Transaksi!$A335&gt;TODAY(),"Tanggal di masa depan. ","")&amp;IF(COUNTIFS(Transaksi!$A$2:$A$501,Transaksi!$A335,Transaksi!$C$2:$C$501,Transaksi!$C335,Transaksi!$D$2:$D$501,Transaksi!$D335)&gt;1,"Kemungkinan duplikat. ","")))</f>
        <v/>
      </c>
    </row>
    <row r="347" ht="18" customHeight="1">
      <c r="B347" s="21">
        <f>IF(Transaksi!$A336="","",336)</f>
        <v/>
      </c>
      <c r="C347" s="20">
        <f>IF(Transaksi!$A336="","",Transaksi!$A336)</f>
        <v/>
      </c>
      <c r="D347" s="22">
        <f>IF(Transaksi!$A336="","",Transaksi!$C336)</f>
        <v/>
      </c>
      <c r="E347" s="21">
        <f>IF(Transaksi!$A336="","",Transaksi!$D336)</f>
        <v/>
      </c>
      <c r="F347" s="21">
        <f>IF(Transaksi!$A336="","",TRIM(IF(Transaksi!$C336="","Nominal kosong. ","")&amp;IF(N(Transaksi!$C336)&lt;0,"Nominal negatif. ","")&amp;IF(Transaksi!$B336="","Jenis belum diisi. ","")&amp;IF(Transaksi!$E336="","Kategori belum diisi. ","")&amp;IF(Transaksi!$A336&gt;TODAY(),"Tanggal di masa depan. ","")&amp;IF(COUNTIFS(Transaksi!$A$2:$A$501,Transaksi!$A336,Transaksi!$C$2:$C$501,Transaksi!$C336,Transaksi!$D$2:$D$501,Transaksi!$D336)&gt;1,"Kemungkinan duplikat. ","")))</f>
        <v/>
      </c>
    </row>
    <row r="348" ht="18" customHeight="1">
      <c r="B348" s="21">
        <f>IF(Transaksi!$A337="","",337)</f>
        <v/>
      </c>
      <c r="C348" s="20">
        <f>IF(Transaksi!$A337="","",Transaksi!$A337)</f>
        <v/>
      </c>
      <c r="D348" s="22">
        <f>IF(Transaksi!$A337="","",Transaksi!$C337)</f>
        <v/>
      </c>
      <c r="E348" s="21">
        <f>IF(Transaksi!$A337="","",Transaksi!$D337)</f>
        <v/>
      </c>
      <c r="F348" s="21">
        <f>IF(Transaksi!$A337="","",TRIM(IF(Transaksi!$C337="","Nominal kosong. ","")&amp;IF(N(Transaksi!$C337)&lt;0,"Nominal negatif. ","")&amp;IF(Transaksi!$B337="","Jenis belum diisi. ","")&amp;IF(Transaksi!$E337="","Kategori belum diisi. ","")&amp;IF(Transaksi!$A337&gt;TODAY(),"Tanggal di masa depan. ","")&amp;IF(COUNTIFS(Transaksi!$A$2:$A$501,Transaksi!$A337,Transaksi!$C$2:$C$501,Transaksi!$C337,Transaksi!$D$2:$D$501,Transaksi!$D337)&gt;1,"Kemungkinan duplikat. ","")))</f>
        <v/>
      </c>
    </row>
    <row r="349" ht="18" customHeight="1">
      <c r="B349" s="21">
        <f>IF(Transaksi!$A338="","",338)</f>
        <v/>
      </c>
      <c r="C349" s="20">
        <f>IF(Transaksi!$A338="","",Transaksi!$A338)</f>
        <v/>
      </c>
      <c r="D349" s="22">
        <f>IF(Transaksi!$A338="","",Transaksi!$C338)</f>
        <v/>
      </c>
      <c r="E349" s="21">
        <f>IF(Transaksi!$A338="","",Transaksi!$D338)</f>
        <v/>
      </c>
      <c r="F349" s="21">
        <f>IF(Transaksi!$A338="","",TRIM(IF(Transaksi!$C338="","Nominal kosong. ","")&amp;IF(N(Transaksi!$C338)&lt;0,"Nominal negatif. ","")&amp;IF(Transaksi!$B338="","Jenis belum diisi. ","")&amp;IF(Transaksi!$E338="","Kategori belum diisi. ","")&amp;IF(Transaksi!$A338&gt;TODAY(),"Tanggal di masa depan. ","")&amp;IF(COUNTIFS(Transaksi!$A$2:$A$501,Transaksi!$A338,Transaksi!$C$2:$C$501,Transaksi!$C338,Transaksi!$D$2:$D$501,Transaksi!$D338)&gt;1,"Kemungkinan duplikat. ","")))</f>
        <v/>
      </c>
    </row>
    <row r="350" ht="18" customHeight="1">
      <c r="B350" s="21">
        <f>IF(Transaksi!$A339="","",339)</f>
        <v/>
      </c>
      <c r="C350" s="20">
        <f>IF(Transaksi!$A339="","",Transaksi!$A339)</f>
        <v/>
      </c>
      <c r="D350" s="22">
        <f>IF(Transaksi!$A339="","",Transaksi!$C339)</f>
        <v/>
      </c>
      <c r="E350" s="21">
        <f>IF(Transaksi!$A339="","",Transaksi!$D339)</f>
        <v/>
      </c>
      <c r="F350" s="21">
        <f>IF(Transaksi!$A339="","",TRIM(IF(Transaksi!$C339="","Nominal kosong. ","")&amp;IF(N(Transaksi!$C339)&lt;0,"Nominal negatif. ","")&amp;IF(Transaksi!$B339="","Jenis belum diisi. ","")&amp;IF(Transaksi!$E339="","Kategori belum diisi. ","")&amp;IF(Transaksi!$A339&gt;TODAY(),"Tanggal di masa depan. ","")&amp;IF(COUNTIFS(Transaksi!$A$2:$A$501,Transaksi!$A339,Transaksi!$C$2:$C$501,Transaksi!$C339,Transaksi!$D$2:$D$501,Transaksi!$D339)&gt;1,"Kemungkinan duplikat. ","")))</f>
        <v/>
      </c>
    </row>
    <row r="351" ht="18" customHeight="1">
      <c r="B351" s="21">
        <f>IF(Transaksi!$A340="","",340)</f>
        <v/>
      </c>
      <c r="C351" s="20">
        <f>IF(Transaksi!$A340="","",Transaksi!$A340)</f>
        <v/>
      </c>
      <c r="D351" s="22">
        <f>IF(Transaksi!$A340="","",Transaksi!$C340)</f>
        <v/>
      </c>
      <c r="E351" s="21">
        <f>IF(Transaksi!$A340="","",Transaksi!$D340)</f>
        <v/>
      </c>
      <c r="F351" s="21">
        <f>IF(Transaksi!$A340="","",TRIM(IF(Transaksi!$C340="","Nominal kosong. ","")&amp;IF(N(Transaksi!$C340)&lt;0,"Nominal negatif. ","")&amp;IF(Transaksi!$B340="","Jenis belum diisi. ","")&amp;IF(Transaksi!$E340="","Kategori belum diisi. ","")&amp;IF(Transaksi!$A340&gt;TODAY(),"Tanggal di masa depan. ","")&amp;IF(COUNTIFS(Transaksi!$A$2:$A$501,Transaksi!$A340,Transaksi!$C$2:$C$501,Transaksi!$C340,Transaksi!$D$2:$D$501,Transaksi!$D340)&gt;1,"Kemungkinan duplikat. ","")))</f>
        <v/>
      </c>
    </row>
    <row r="352" ht="18" customHeight="1">
      <c r="B352" s="21">
        <f>IF(Transaksi!$A341="","",341)</f>
        <v/>
      </c>
      <c r="C352" s="20">
        <f>IF(Transaksi!$A341="","",Transaksi!$A341)</f>
        <v/>
      </c>
      <c r="D352" s="22">
        <f>IF(Transaksi!$A341="","",Transaksi!$C341)</f>
        <v/>
      </c>
      <c r="E352" s="21">
        <f>IF(Transaksi!$A341="","",Transaksi!$D341)</f>
        <v/>
      </c>
      <c r="F352" s="21">
        <f>IF(Transaksi!$A341="","",TRIM(IF(Transaksi!$C341="","Nominal kosong. ","")&amp;IF(N(Transaksi!$C341)&lt;0,"Nominal negatif. ","")&amp;IF(Transaksi!$B341="","Jenis belum diisi. ","")&amp;IF(Transaksi!$E341="","Kategori belum diisi. ","")&amp;IF(Transaksi!$A341&gt;TODAY(),"Tanggal di masa depan. ","")&amp;IF(COUNTIFS(Transaksi!$A$2:$A$501,Transaksi!$A341,Transaksi!$C$2:$C$501,Transaksi!$C341,Transaksi!$D$2:$D$501,Transaksi!$D341)&gt;1,"Kemungkinan duplikat. ","")))</f>
        <v/>
      </c>
    </row>
    <row r="353" ht="18" customHeight="1">
      <c r="B353" s="21">
        <f>IF(Transaksi!$A342="","",342)</f>
        <v/>
      </c>
      <c r="C353" s="20">
        <f>IF(Transaksi!$A342="","",Transaksi!$A342)</f>
        <v/>
      </c>
      <c r="D353" s="22">
        <f>IF(Transaksi!$A342="","",Transaksi!$C342)</f>
        <v/>
      </c>
      <c r="E353" s="21">
        <f>IF(Transaksi!$A342="","",Transaksi!$D342)</f>
        <v/>
      </c>
      <c r="F353" s="21">
        <f>IF(Transaksi!$A342="","",TRIM(IF(Transaksi!$C342="","Nominal kosong. ","")&amp;IF(N(Transaksi!$C342)&lt;0,"Nominal negatif. ","")&amp;IF(Transaksi!$B342="","Jenis belum diisi. ","")&amp;IF(Transaksi!$E342="","Kategori belum diisi. ","")&amp;IF(Transaksi!$A342&gt;TODAY(),"Tanggal di masa depan. ","")&amp;IF(COUNTIFS(Transaksi!$A$2:$A$501,Transaksi!$A342,Transaksi!$C$2:$C$501,Transaksi!$C342,Transaksi!$D$2:$D$501,Transaksi!$D342)&gt;1,"Kemungkinan duplikat. ","")))</f>
        <v/>
      </c>
    </row>
    <row r="354" ht="18" customHeight="1">
      <c r="B354" s="21">
        <f>IF(Transaksi!$A343="","",343)</f>
        <v/>
      </c>
      <c r="C354" s="20">
        <f>IF(Transaksi!$A343="","",Transaksi!$A343)</f>
        <v/>
      </c>
      <c r="D354" s="22">
        <f>IF(Transaksi!$A343="","",Transaksi!$C343)</f>
        <v/>
      </c>
      <c r="E354" s="21">
        <f>IF(Transaksi!$A343="","",Transaksi!$D343)</f>
        <v/>
      </c>
      <c r="F354" s="21">
        <f>IF(Transaksi!$A343="","",TRIM(IF(Transaksi!$C343="","Nominal kosong. ","")&amp;IF(N(Transaksi!$C343)&lt;0,"Nominal negatif. ","")&amp;IF(Transaksi!$B343="","Jenis belum diisi. ","")&amp;IF(Transaksi!$E343="","Kategori belum diisi. ","")&amp;IF(Transaksi!$A343&gt;TODAY(),"Tanggal di masa depan. ","")&amp;IF(COUNTIFS(Transaksi!$A$2:$A$501,Transaksi!$A343,Transaksi!$C$2:$C$501,Transaksi!$C343,Transaksi!$D$2:$D$501,Transaksi!$D343)&gt;1,"Kemungkinan duplikat. ","")))</f>
        <v/>
      </c>
    </row>
    <row r="355" ht="18" customHeight="1">
      <c r="B355" s="21">
        <f>IF(Transaksi!$A344="","",344)</f>
        <v/>
      </c>
      <c r="C355" s="20">
        <f>IF(Transaksi!$A344="","",Transaksi!$A344)</f>
        <v/>
      </c>
      <c r="D355" s="22">
        <f>IF(Transaksi!$A344="","",Transaksi!$C344)</f>
        <v/>
      </c>
      <c r="E355" s="21">
        <f>IF(Transaksi!$A344="","",Transaksi!$D344)</f>
        <v/>
      </c>
      <c r="F355" s="21">
        <f>IF(Transaksi!$A344="","",TRIM(IF(Transaksi!$C344="","Nominal kosong. ","")&amp;IF(N(Transaksi!$C344)&lt;0,"Nominal negatif. ","")&amp;IF(Transaksi!$B344="","Jenis belum diisi. ","")&amp;IF(Transaksi!$E344="","Kategori belum diisi. ","")&amp;IF(Transaksi!$A344&gt;TODAY(),"Tanggal di masa depan. ","")&amp;IF(COUNTIFS(Transaksi!$A$2:$A$501,Transaksi!$A344,Transaksi!$C$2:$C$501,Transaksi!$C344,Transaksi!$D$2:$D$501,Transaksi!$D344)&gt;1,"Kemungkinan duplikat. ","")))</f>
        <v/>
      </c>
    </row>
    <row r="356" ht="18" customHeight="1">
      <c r="B356" s="21">
        <f>IF(Transaksi!$A345="","",345)</f>
        <v/>
      </c>
      <c r="C356" s="20">
        <f>IF(Transaksi!$A345="","",Transaksi!$A345)</f>
        <v/>
      </c>
      <c r="D356" s="22">
        <f>IF(Transaksi!$A345="","",Transaksi!$C345)</f>
        <v/>
      </c>
      <c r="E356" s="21">
        <f>IF(Transaksi!$A345="","",Transaksi!$D345)</f>
        <v/>
      </c>
      <c r="F356" s="21">
        <f>IF(Transaksi!$A345="","",TRIM(IF(Transaksi!$C345="","Nominal kosong. ","")&amp;IF(N(Transaksi!$C345)&lt;0,"Nominal negatif. ","")&amp;IF(Transaksi!$B345="","Jenis belum diisi. ","")&amp;IF(Transaksi!$E345="","Kategori belum diisi. ","")&amp;IF(Transaksi!$A345&gt;TODAY(),"Tanggal di masa depan. ","")&amp;IF(COUNTIFS(Transaksi!$A$2:$A$501,Transaksi!$A345,Transaksi!$C$2:$C$501,Transaksi!$C345,Transaksi!$D$2:$D$501,Transaksi!$D345)&gt;1,"Kemungkinan duplikat. ","")))</f>
        <v/>
      </c>
    </row>
    <row r="357" ht="18" customHeight="1">
      <c r="B357" s="21">
        <f>IF(Transaksi!$A346="","",346)</f>
        <v/>
      </c>
      <c r="C357" s="20">
        <f>IF(Transaksi!$A346="","",Transaksi!$A346)</f>
        <v/>
      </c>
      <c r="D357" s="22">
        <f>IF(Transaksi!$A346="","",Transaksi!$C346)</f>
        <v/>
      </c>
      <c r="E357" s="21">
        <f>IF(Transaksi!$A346="","",Transaksi!$D346)</f>
        <v/>
      </c>
      <c r="F357" s="21">
        <f>IF(Transaksi!$A346="","",TRIM(IF(Transaksi!$C346="","Nominal kosong. ","")&amp;IF(N(Transaksi!$C346)&lt;0,"Nominal negatif. ","")&amp;IF(Transaksi!$B346="","Jenis belum diisi. ","")&amp;IF(Transaksi!$E346="","Kategori belum diisi. ","")&amp;IF(Transaksi!$A346&gt;TODAY(),"Tanggal di masa depan. ","")&amp;IF(COUNTIFS(Transaksi!$A$2:$A$501,Transaksi!$A346,Transaksi!$C$2:$C$501,Transaksi!$C346,Transaksi!$D$2:$D$501,Transaksi!$D346)&gt;1,"Kemungkinan duplikat. ","")))</f>
        <v/>
      </c>
    </row>
    <row r="358" ht="18" customHeight="1">
      <c r="B358" s="21">
        <f>IF(Transaksi!$A347="","",347)</f>
        <v/>
      </c>
      <c r="C358" s="20">
        <f>IF(Transaksi!$A347="","",Transaksi!$A347)</f>
        <v/>
      </c>
      <c r="D358" s="22">
        <f>IF(Transaksi!$A347="","",Transaksi!$C347)</f>
        <v/>
      </c>
      <c r="E358" s="21">
        <f>IF(Transaksi!$A347="","",Transaksi!$D347)</f>
        <v/>
      </c>
      <c r="F358" s="21">
        <f>IF(Transaksi!$A347="","",TRIM(IF(Transaksi!$C347="","Nominal kosong. ","")&amp;IF(N(Transaksi!$C347)&lt;0,"Nominal negatif. ","")&amp;IF(Transaksi!$B347="","Jenis belum diisi. ","")&amp;IF(Transaksi!$E347="","Kategori belum diisi. ","")&amp;IF(Transaksi!$A347&gt;TODAY(),"Tanggal di masa depan. ","")&amp;IF(COUNTIFS(Transaksi!$A$2:$A$501,Transaksi!$A347,Transaksi!$C$2:$C$501,Transaksi!$C347,Transaksi!$D$2:$D$501,Transaksi!$D347)&gt;1,"Kemungkinan duplikat. ","")))</f>
        <v/>
      </c>
    </row>
    <row r="359" ht="18" customHeight="1">
      <c r="B359" s="21">
        <f>IF(Transaksi!$A348="","",348)</f>
        <v/>
      </c>
      <c r="C359" s="20">
        <f>IF(Transaksi!$A348="","",Transaksi!$A348)</f>
        <v/>
      </c>
      <c r="D359" s="22">
        <f>IF(Transaksi!$A348="","",Transaksi!$C348)</f>
        <v/>
      </c>
      <c r="E359" s="21">
        <f>IF(Transaksi!$A348="","",Transaksi!$D348)</f>
        <v/>
      </c>
      <c r="F359" s="21">
        <f>IF(Transaksi!$A348="","",TRIM(IF(Transaksi!$C348="","Nominal kosong. ","")&amp;IF(N(Transaksi!$C348)&lt;0,"Nominal negatif. ","")&amp;IF(Transaksi!$B348="","Jenis belum diisi. ","")&amp;IF(Transaksi!$E348="","Kategori belum diisi. ","")&amp;IF(Transaksi!$A348&gt;TODAY(),"Tanggal di masa depan. ","")&amp;IF(COUNTIFS(Transaksi!$A$2:$A$501,Transaksi!$A348,Transaksi!$C$2:$C$501,Transaksi!$C348,Transaksi!$D$2:$D$501,Transaksi!$D348)&gt;1,"Kemungkinan duplikat. ","")))</f>
        <v/>
      </c>
    </row>
    <row r="360" ht="18" customHeight="1">
      <c r="B360" s="21">
        <f>IF(Transaksi!$A349="","",349)</f>
        <v/>
      </c>
      <c r="C360" s="20">
        <f>IF(Transaksi!$A349="","",Transaksi!$A349)</f>
        <v/>
      </c>
      <c r="D360" s="22">
        <f>IF(Transaksi!$A349="","",Transaksi!$C349)</f>
        <v/>
      </c>
      <c r="E360" s="21">
        <f>IF(Transaksi!$A349="","",Transaksi!$D349)</f>
        <v/>
      </c>
      <c r="F360" s="21">
        <f>IF(Transaksi!$A349="","",TRIM(IF(Transaksi!$C349="","Nominal kosong. ","")&amp;IF(N(Transaksi!$C349)&lt;0,"Nominal negatif. ","")&amp;IF(Transaksi!$B349="","Jenis belum diisi. ","")&amp;IF(Transaksi!$E349="","Kategori belum diisi. ","")&amp;IF(Transaksi!$A349&gt;TODAY(),"Tanggal di masa depan. ","")&amp;IF(COUNTIFS(Transaksi!$A$2:$A$501,Transaksi!$A349,Transaksi!$C$2:$C$501,Transaksi!$C349,Transaksi!$D$2:$D$501,Transaksi!$D349)&gt;1,"Kemungkinan duplikat. ","")))</f>
        <v/>
      </c>
    </row>
    <row r="361" ht="18" customHeight="1">
      <c r="B361" s="21">
        <f>IF(Transaksi!$A350="","",350)</f>
        <v/>
      </c>
      <c r="C361" s="20">
        <f>IF(Transaksi!$A350="","",Transaksi!$A350)</f>
        <v/>
      </c>
      <c r="D361" s="22">
        <f>IF(Transaksi!$A350="","",Transaksi!$C350)</f>
        <v/>
      </c>
      <c r="E361" s="21">
        <f>IF(Transaksi!$A350="","",Transaksi!$D350)</f>
        <v/>
      </c>
      <c r="F361" s="21">
        <f>IF(Transaksi!$A350="","",TRIM(IF(Transaksi!$C350="","Nominal kosong. ","")&amp;IF(N(Transaksi!$C350)&lt;0,"Nominal negatif. ","")&amp;IF(Transaksi!$B350="","Jenis belum diisi. ","")&amp;IF(Transaksi!$E350="","Kategori belum diisi. ","")&amp;IF(Transaksi!$A350&gt;TODAY(),"Tanggal di masa depan. ","")&amp;IF(COUNTIFS(Transaksi!$A$2:$A$501,Transaksi!$A350,Transaksi!$C$2:$C$501,Transaksi!$C350,Transaksi!$D$2:$D$501,Transaksi!$D350)&gt;1,"Kemungkinan duplikat. ","")))</f>
        <v/>
      </c>
    </row>
    <row r="362" ht="18" customHeight="1">
      <c r="B362" s="21">
        <f>IF(Transaksi!$A351="","",351)</f>
        <v/>
      </c>
      <c r="C362" s="20">
        <f>IF(Transaksi!$A351="","",Transaksi!$A351)</f>
        <v/>
      </c>
      <c r="D362" s="22">
        <f>IF(Transaksi!$A351="","",Transaksi!$C351)</f>
        <v/>
      </c>
      <c r="E362" s="21">
        <f>IF(Transaksi!$A351="","",Transaksi!$D351)</f>
        <v/>
      </c>
      <c r="F362" s="21">
        <f>IF(Transaksi!$A351="","",TRIM(IF(Transaksi!$C351="","Nominal kosong. ","")&amp;IF(N(Transaksi!$C351)&lt;0,"Nominal negatif. ","")&amp;IF(Transaksi!$B351="","Jenis belum diisi. ","")&amp;IF(Transaksi!$E351="","Kategori belum diisi. ","")&amp;IF(Transaksi!$A351&gt;TODAY(),"Tanggal di masa depan. ","")&amp;IF(COUNTIFS(Transaksi!$A$2:$A$501,Transaksi!$A351,Transaksi!$C$2:$C$501,Transaksi!$C351,Transaksi!$D$2:$D$501,Transaksi!$D351)&gt;1,"Kemungkinan duplikat. ","")))</f>
        <v/>
      </c>
    </row>
    <row r="363" ht="18" customHeight="1">
      <c r="B363" s="21">
        <f>IF(Transaksi!$A352="","",352)</f>
        <v/>
      </c>
      <c r="C363" s="20">
        <f>IF(Transaksi!$A352="","",Transaksi!$A352)</f>
        <v/>
      </c>
      <c r="D363" s="22">
        <f>IF(Transaksi!$A352="","",Transaksi!$C352)</f>
        <v/>
      </c>
      <c r="E363" s="21">
        <f>IF(Transaksi!$A352="","",Transaksi!$D352)</f>
        <v/>
      </c>
      <c r="F363" s="21">
        <f>IF(Transaksi!$A352="","",TRIM(IF(Transaksi!$C352="","Nominal kosong. ","")&amp;IF(N(Transaksi!$C352)&lt;0,"Nominal negatif. ","")&amp;IF(Transaksi!$B352="","Jenis belum diisi. ","")&amp;IF(Transaksi!$E352="","Kategori belum diisi. ","")&amp;IF(Transaksi!$A352&gt;TODAY(),"Tanggal di masa depan. ","")&amp;IF(COUNTIFS(Transaksi!$A$2:$A$501,Transaksi!$A352,Transaksi!$C$2:$C$501,Transaksi!$C352,Transaksi!$D$2:$D$501,Transaksi!$D352)&gt;1,"Kemungkinan duplikat. ","")))</f>
        <v/>
      </c>
    </row>
    <row r="364" ht="18" customHeight="1">
      <c r="B364" s="21">
        <f>IF(Transaksi!$A353="","",353)</f>
        <v/>
      </c>
      <c r="C364" s="20">
        <f>IF(Transaksi!$A353="","",Transaksi!$A353)</f>
        <v/>
      </c>
      <c r="D364" s="22">
        <f>IF(Transaksi!$A353="","",Transaksi!$C353)</f>
        <v/>
      </c>
      <c r="E364" s="21">
        <f>IF(Transaksi!$A353="","",Transaksi!$D353)</f>
        <v/>
      </c>
      <c r="F364" s="21">
        <f>IF(Transaksi!$A353="","",TRIM(IF(Transaksi!$C353="","Nominal kosong. ","")&amp;IF(N(Transaksi!$C353)&lt;0,"Nominal negatif. ","")&amp;IF(Transaksi!$B353="","Jenis belum diisi. ","")&amp;IF(Transaksi!$E353="","Kategori belum diisi. ","")&amp;IF(Transaksi!$A353&gt;TODAY(),"Tanggal di masa depan. ","")&amp;IF(COUNTIFS(Transaksi!$A$2:$A$501,Transaksi!$A353,Transaksi!$C$2:$C$501,Transaksi!$C353,Transaksi!$D$2:$D$501,Transaksi!$D353)&gt;1,"Kemungkinan duplikat. ","")))</f>
        <v/>
      </c>
    </row>
    <row r="365" ht="18" customHeight="1">
      <c r="B365" s="21">
        <f>IF(Transaksi!$A354="","",354)</f>
        <v/>
      </c>
      <c r="C365" s="20">
        <f>IF(Transaksi!$A354="","",Transaksi!$A354)</f>
        <v/>
      </c>
      <c r="D365" s="22">
        <f>IF(Transaksi!$A354="","",Transaksi!$C354)</f>
        <v/>
      </c>
      <c r="E365" s="21">
        <f>IF(Transaksi!$A354="","",Transaksi!$D354)</f>
        <v/>
      </c>
      <c r="F365" s="21">
        <f>IF(Transaksi!$A354="","",TRIM(IF(Transaksi!$C354="","Nominal kosong. ","")&amp;IF(N(Transaksi!$C354)&lt;0,"Nominal negatif. ","")&amp;IF(Transaksi!$B354="","Jenis belum diisi. ","")&amp;IF(Transaksi!$E354="","Kategori belum diisi. ","")&amp;IF(Transaksi!$A354&gt;TODAY(),"Tanggal di masa depan. ","")&amp;IF(COUNTIFS(Transaksi!$A$2:$A$501,Transaksi!$A354,Transaksi!$C$2:$C$501,Transaksi!$C354,Transaksi!$D$2:$D$501,Transaksi!$D354)&gt;1,"Kemungkinan duplikat. ","")))</f>
        <v/>
      </c>
    </row>
    <row r="366" ht="18" customHeight="1">
      <c r="B366" s="21">
        <f>IF(Transaksi!$A355="","",355)</f>
        <v/>
      </c>
      <c r="C366" s="20">
        <f>IF(Transaksi!$A355="","",Transaksi!$A355)</f>
        <v/>
      </c>
      <c r="D366" s="22">
        <f>IF(Transaksi!$A355="","",Transaksi!$C355)</f>
        <v/>
      </c>
      <c r="E366" s="21">
        <f>IF(Transaksi!$A355="","",Transaksi!$D355)</f>
        <v/>
      </c>
      <c r="F366" s="21">
        <f>IF(Transaksi!$A355="","",TRIM(IF(Transaksi!$C355="","Nominal kosong. ","")&amp;IF(N(Transaksi!$C355)&lt;0,"Nominal negatif. ","")&amp;IF(Transaksi!$B355="","Jenis belum diisi. ","")&amp;IF(Transaksi!$E355="","Kategori belum diisi. ","")&amp;IF(Transaksi!$A355&gt;TODAY(),"Tanggal di masa depan. ","")&amp;IF(COUNTIFS(Transaksi!$A$2:$A$501,Transaksi!$A355,Transaksi!$C$2:$C$501,Transaksi!$C355,Transaksi!$D$2:$D$501,Transaksi!$D355)&gt;1,"Kemungkinan duplikat. ","")))</f>
        <v/>
      </c>
    </row>
    <row r="367" ht="18" customHeight="1">
      <c r="B367" s="21">
        <f>IF(Transaksi!$A356="","",356)</f>
        <v/>
      </c>
      <c r="C367" s="20">
        <f>IF(Transaksi!$A356="","",Transaksi!$A356)</f>
        <v/>
      </c>
      <c r="D367" s="22">
        <f>IF(Transaksi!$A356="","",Transaksi!$C356)</f>
        <v/>
      </c>
      <c r="E367" s="21">
        <f>IF(Transaksi!$A356="","",Transaksi!$D356)</f>
        <v/>
      </c>
      <c r="F367" s="21">
        <f>IF(Transaksi!$A356="","",TRIM(IF(Transaksi!$C356="","Nominal kosong. ","")&amp;IF(N(Transaksi!$C356)&lt;0,"Nominal negatif. ","")&amp;IF(Transaksi!$B356="","Jenis belum diisi. ","")&amp;IF(Transaksi!$E356="","Kategori belum diisi. ","")&amp;IF(Transaksi!$A356&gt;TODAY(),"Tanggal di masa depan. ","")&amp;IF(COUNTIFS(Transaksi!$A$2:$A$501,Transaksi!$A356,Transaksi!$C$2:$C$501,Transaksi!$C356,Transaksi!$D$2:$D$501,Transaksi!$D356)&gt;1,"Kemungkinan duplikat. ","")))</f>
        <v/>
      </c>
    </row>
    <row r="368" ht="18" customHeight="1">
      <c r="B368" s="21">
        <f>IF(Transaksi!$A357="","",357)</f>
        <v/>
      </c>
      <c r="C368" s="20">
        <f>IF(Transaksi!$A357="","",Transaksi!$A357)</f>
        <v/>
      </c>
      <c r="D368" s="22">
        <f>IF(Transaksi!$A357="","",Transaksi!$C357)</f>
        <v/>
      </c>
      <c r="E368" s="21">
        <f>IF(Transaksi!$A357="","",Transaksi!$D357)</f>
        <v/>
      </c>
      <c r="F368" s="21">
        <f>IF(Transaksi!$A357="","",TRIM(IF(Transaksi!$C357="","Nominal kosong. ","")&amp;IF(N(Transaksi!$C357)&lt;0,"Nominal negatif. ","")&amp;IF(Transaksi!$B357="","Jenis belum diisi. ","")&amp;IF(Transaksi!$E357="","Kategori belum diisi. ","")&amp;IF(Transaksi!$A357&gt;TODAY(),"Tanggal di masa depan. ","")&amp;IF(COUNTIFS(Transaksi!$A$2:$A$501,Transaksi!$A357,Transaksi!$C$2:$C$501,Transaksi!$C357,Transaksi!$D$2:$D$501,Transaksi!$D357)&gt;1,"Kemungkinan duplikat. ","")))</f>
        <v/>
      </c>
    </row>
    <row r="369" ht="18" customHeight="1">
      <c r="B369" s="21">
        <f>IF(Transaksi!$A358="","",358)</f>
        <v/>
      </c>
      <c r="C369" s="20">
        <f>IF(Transaksi!$A358="","",Transaksi!$A358)</f>
        <v/>
      </c>
      <c r="D369" s="22">
        <f>IF(Transaksi!$A358="","",Transaksi!$C358)</f>
        <v/>
      </c>
      <c r="E369" s="21">
        <f>IF(Transaksi!$A358="","",Transaksi!$D358)</f>
        <v/>
      </c>
      <c r="F369" s="21">
        <f>IF(Transaksi!$A358="","",TRIM(IF(Transaksi!$C358="","Nominal kosong. ","")&amp;IF(N(Transaksi!$C358)&lt;0,"Nominal negatif. ","")&amp;IF(Transaksi!$B358="","Jenis belum diisi. ","")&amp;IF(Transaksi!$E358="","Kategori belum diisi. ","")&amp;IF(Transaksi!$A358&gt;TODAY(),"Tanggal di masa depan. ","")&amp;IF(COUNTIFS(Transaksi!$A$2:$A$501,Transaksi!$A358,Transaksi!$C$2:$C$501,Transaksi!$C358,Transaksi!$D$2:$D$501,Transaksi!$D358)&gt;1,"Kemungkinan duplikat. ","")))</f>
        <v/>
      </c>
    </row>
    <row r="370" ht="18" customHeight="1">
      <c r="B370" s="21">
        <f>IF(Transaksi!$A359="","",359)</f>
        <v/>
      </c>
      <c r="C370" s="20">
        <f>IF(Transaksi!$A359="","",Transaksi!$A359)</f>
        <v/>
      </c>
      <c r="D370" s="22">
        <f>IF(Transaksi!$A359="","",Transaksi!$C359)</f>
        <v/>
      </c>
      <c r="E370" s="21">
        <f>IF(Transaksi!$A359="","",Transaksi!$D359)</f>
        <v/>
      </c>
      <c r="F370" s="21">
        <f>IF(Transaksi!$A359="","",TRIM(IF(Transaksi!$C359="","Nominal kosong. ","")&amp;IF(N(Transaksi!$C359)&lt;0,"Nominal negatif. ","")&amp;IF(Transaksi!$B359="","Jenis belum diisi. ","")&amp;IF(Transaksi!$E359="","Kategori belum diisi. ","")&amp;IF(Transaksi!$A359&gt;TODAY(),"Tanggal di masa depan. ","")&amp;IF(COUNTIFS(Transaksi!$A$2:$A$501,Transaksi!$A359,Transaksi!$C$2:$C$501,Transaksi!$C359,Transaksi!$D$2:$D$501,Transaksi!$D359)&gt;1,"Kemungkinan duplikat. ","")))</f>
        <v/>
      </c>
    </row>
    <row r="371" ht="18" customHeight="1">
      <c r="B371" s="21">
        <f>IF(Transaksi!$A360="","",360)</f>
        <v/>
      </c>
      <c r="C371" s="20">
        <f>IF(Transaksi!$A360="","",Transaksi!$A360)</f>
        <v/>
      </c>
      <c r="D371" s="22">
        <f>IF(Transaksi!$A360="","",Transaksi!$C360)</f>
        <v/>
      </c>
      <c r="E371" s="21">
        <f>IF(Transaksi!$A360="","",Transaksi!$D360)</f>
        <v/>
      </c>
      <c r="F371" s="21">
        <f>IF(Transaksi!$A360="","",TRIM(IF(Transaksi!$C360="","Nominal kosong. ","")&amp;IF(N(Transaksi!$C360)&lt;0,"Nominal negatif. ","")&amp;IF(Transaksi!$B360="","Jenis belum diisi. ","")&amp;IF(Transaksi!$E360="","Kategori belum diisi. ","")&amp;IF(Transaksi!$A360&gt;TODAY(),"Tanggal di masa depan. ","")&amp;IF(COUNTIFS(Transaksi!$A$2:$A$501,Transaksi!$A360,Transaksi!$C$2:$C$501,Transaksi!$C360,Transaksi!$D$2:$D$501,Transaksi!$D360)&gt;1,"Kemungkinan duplikat. ","")))</f>
        <v/>
      </c>
    </row>
    <row r="372" ht="18" customHeight="1">
      <c r="B372" s="21">
        <f>IF(Transaksi!$A361="","",361)</f>
        <v/>
      </c>
      <c r="C372" s="20">
        <f>IF(Transaksi!$A361="","",Transaksi!$A361)</f>
        <v/>
      </c>
      <c r="D372" s="22">
        <f>IF(Transaksi!$A361="","",Transaksi!$C361)</f>
        <v/>
      </c>
      <c r="E372" s="21">
        <f>IF(Transaksi!$A361="","",Transaksi!$D361)</f>
        <v/>
      </c>
      <c r="F372" s="21">
        <f>IF(Transaksi!$A361="","",TRIM(IF(Transaksi!$C361="","Nominal kosong. ","")&amp;IF(N(Transaksi!$C361)&lt;0,"Nominal negatif. ","")&amp;IF(Transaksi!$B361="","Jenis belum diisi. ","")&amp;IF(Transaksi!$E361="","Kategori belum diisi. ","")&amp;IF(Transaksi!$A361&gt;TODAY(),"Tanggal di masa depan. ","")&amp;IF(COUNTIFS(Transaksi!$A$2:$A$501,Transaksi!$A361,Transaksi!$C$2:$C$501,Transaksi!$C361,Transaksi!$D$2:$D$501,Transaksi!$D361)&gt;1,"Kemungkinan duplikat. ","")))</f>
        <v/>
      </c>
    </row>
    <row r="373" ht="18" customHeight="1">
      <c r="B373" s="21">
        <f>IF(Transaksi!$A362="","",362)</f>
        <v/>
      </c>
      <c r="C373" s="20">
        <f>IF(Transaksi!$A362="","",Transaksi!$A362)</f>
        <v/>
      </c>
      <c r="D373" s="22">
        <f>IF(Transaksi!$A362="","",Transaksi!$C362)</f>
        <v/>
      </c>
      <c r="E373" s="21">
        <f>IF(Transaksi!$A362="","",Transaksi!$D362)</f>
        <v/>
      </c>
      <c r="F373" s="21">
        <f>IF(Transaksi!$A362="","",TRIM(IF(Transaksi!$C362="","Nominal kosong. ","")&amp;IF(N(Transaksi!$C362)&lt;0,"Nominal negatif. ","")&amp;IF(Transaksi!$B362="","Jenis belum diisi. ","")&amp;IF(Transaksi!$E362="","Kategori belum diisi. ","")&amp;IF(Transaksi!$A362&gt;TODAY(),"Tanggal di masa depan. ","")&amp;IF(COUNTIFS(Transaksi!$A$2:$A$501,Transaksi!$A362,Transaksi!$C$2:$C$501,Transaksi!$C362,Transaksi!$D$2:$D$501,Transaksi!$D362)&gt;1,"Kemungkinan duplikat. ","")))</f>
        <v/>
      </c>
    </row>
    <row r="374" ht="18" customHeight="1">
      <c r="B374" s="21">
        <f>IF(Transaksi!$A363="","",363)</f>
        <v/>
      </c>
      <c r="C374" s="20">
        <f>IF(Transaksi!$A363="","",Transaksi!$A363)</f>
        <v/>
      </c>
      <c r="D374" s="22">
        <f>IF(Transaksi!$A363="","",Transaksi!$C363)</f>
        <v/>
      </c>
      <c r="E374" s="21">
        <f>IF(Transaksi!$A363="","",Transaksi!$D363)</f>
        <v/>
      </c>
      <c r="F374" s="21">
        <f>IF(Transaksi!$A363="","",TRIM(IF(Transaksi!$C363="","Nominal kosong. ","")&amp;IF(N(Transaksi!$C363)&lt;0,"Nominal negatif. ","")&amp;IF(Transaksi!$B363="","Jenis belum diisi. ","")&amp;IF(Transaksi!$E363="","Kategori belum diisi. ","")&amp;IF(Transaksi!$A363&gt;TODAY(),"Tanggal di masa depan. ","")&amp;IF(COUNTIFS(Transaksi!$A$2:$A$501,Transaksi!$A363,Transaksi!$C$2:$C$501,Transaksi!$C363,Transaksi!$D$2:$D$501,Transaksi!$D363)&gt;1,"Kemungkinan duplikat. ","")))</f>
        <v/>
      </c>
    </row>
    <row r="375" ht="18" customHeight="1">
      <c r="B375" s="21">
        <f>IF(Transaksi!$A364="","",364)</f>
        <v/>
      </c>
      <c r="C375" s="20">
        <f>IF(Transaksi!$A364="","",Transaksi!$A364)</f>
        <v/>
      </c>
      <c r="D375" s="22">
        <f>IF(Transaksi!$A364="","",Transaksi!$C364)</f>
        <v/>
      </c>
      <c r="E375" s="21">
        <f>IF(Transaksi!$A364="","",Transaksi!$D364)</f>
        <v/>
      </c>
      <c r="F375" s="21">
        <f>IF(Transaksi!$A364="","",TRIM(IF(Transaksi!$C364="","Nominal kosong. ","")&amp;IF(N(Transaksi!$C364)&lt;0,"Nominal negatif. ","")&amp;IF(Transaksi!$B364="","Jenis belum diisi. ","")&amp;IF(Transaksi!$E364="","Kategori belum diisi. ","")&amp;IF(Transaksi!$A364&gt;TODAY(),"Tanggal di masa depan. ","")&amp;IF(COUNTIFS(Transaksi!$A$2:$A$501,Transaksi!$A364,Transaksi!$C$2:$C$501,Transaksi!$C364,Transaksi!$D$2:$D$501,Transaksi!$D364)&gt;1,"Kemungkinan duplikat. ","")))</f>
        <v/>
      </c>
    </row>
    <row r="376" ht="18" customHeight="1">
      <c r="B376" s="21">
        <f>IF(Transaksi!$A365="","",365)</f>
        <v/>
      </c>
      <c r="C376" s="20">
        <f>IF(Transaksi!$A365="","",Transaksi!$A365)</f>
        <v/>
      </c>
      <c r="D376" s="22">
        <f>IF(Transaksi!$A365="","",Transaksi!$C365)</f>
        <v/>
      </c>
      <c r="E376" s="21">
        <f>IF(Transaksi!$A365="","",Transaksi!$D365)</f>
        <v/>
      </c>
      <c r="F376" s="21">
        <f>IF(Transaksi!$A365="","",TRIM(IF(Transaksi!$C365="","Nominal kosong. ","")&amp;IF(N(Transaksi!$C365)&lt;0,"Nominal negatif. ","")&amp;IF(Transaksi!$B365="","Jenis belum diisi. ","")&amp;IF(Transaksi!$E365="","Kategori belum diisi. ","")&amp;IF(Transaksi!$A365&gt;TODAY(),"Tanggal di masa depan. ","")&amp;IF(COUNTIFS(Transaksi!$A$2:$A$501,Transaksi!$A365,Transaksi!$C$2:$C$501,Transaksi!$C365,Transaksi!$D$2:$D$501,Transaksi!$D365)&gt;1,"Kemungkinan duplikat. ","")))</f>
        <v/>
      </c>
    </row>
    <row r="377" ht="18" customHeight="1">
      <c r="B377" s="21">
        <f>IF(Transaksi!$A366="","",366)</f>
        <v/>
      </c>
      <c r="C377" s="20">
        <f>IF(Transaksi!$A366="","",Transaksi!$A366)</f>
        <v/>
      </c>
      <c r="D377" s="22">
        <f>IF(Transaksi!$A366="","",Transaksi!$C366)</f>
        <v/>
      </c>
      <c r="E377" s="21">
        <f>IF(Transaksi!$A366="","",Transaksi!$D366)</f>
        <v/>
      </c>
      <c r="F377" s="21">
        <f>IF(Transaksi!$A366="","",TRIM(IF(Transaksi!$C366="","Nominal kosong. ","")&amp;IF(N(Transaksi!$C366)&lt;0,"Nominal negatif. ","")&amp;IF(Transaksi!$B366="","Jenis belum diisi. ","")&amp;IF(Transaksi!$E366="","Kategori belum diisi. ","")&amp;IF(Transaksi!$A366&gt;TODAY(),"Tanggal di masa depan. ","")&amp;IF(COUNTIFS(Transaksi!$A$2:$A$501,Transaksi!$A366,Transaksi!$C$2:$C$501,Transaksi!$C366,Transaksi!$D$2:$D$501,Transaksi!$D366)&gt;1,"Kemungkinan duplikat. ","")))</f>
        <v/>
      </c>
    </row>
    <row r="378" ht="18" customHeight="1">
      <c r="B378" s="21">
        <f>IF(Transaksi!$A367="","",367)</f>
        <v/>
      </c>
      <c r="C378" s="20">
        <f>IF(Transaksi!$A367="","",Transaksi!$A367)</f>
        <v/>
      </c>
      <c r="D378" s="22">
        <f>IF(Transaksi!$A367="","",Transaksi!$C367)</f>
        <v/>
      </c>
      <c r="E378" s="21">
        <f>IF(Transaksi!$A367="","",Transaksi!$D367)</f>
        <v/>
      </c>
      <c r="F378" s="21">
        <f>IF(Transaksi!$A367="","",TRIM(IF(Transaksi!$C367="","Nominal kosong. ","")&amp;IF(N(Transaksi!$C367)&lt;0,"Nominal negatif. ","")&amp;IF(Transaksi!$B367="","Jenis belum diisi. ","")&amp;IF(Transaksi!$E367="","Kategori belum diisi. ","")&amp;IF(Transaksi!$A367&gt;TODAY(),"Tanggal di masa depan. ","")&amp;IF(COUNTIFS(Transaksi!$A$2:$A$501,Transaksi!$A367,Transaksi!$C$2:$C$501,Transaksi!$C367,Transaksi!$D$2:$D$501,Transaksi!$D367)&gt;1,"Kemungkinan duplikat. ","")))</f>
        <v/>
      </c>
    </row>
    <row r="379" ht="18" customHeight="1">
      <c r="B379" s="21">
        <f>IF(Transaksi!$A368="","",368)</f>
        <v/>
      </c>
      <c r="C379" s="20">
        <f>IF(Transaksi!$A368="","",Transaksi!$A368)</f>
        <v/>
      </c>
      <c r="D379" s="22">
        <f>IF(Transaksi!$A368="","",Transaksi!$C368)</f>
        <v/>
      </c>
      <c r="E379" s="21">
        <f>IF(Transaksi!$A368="","",Transaksi!$D368)</f>
        <v/>
      </c>
      <c r="F379" s="21">
        <f>IF(Transaksi!$A368="","",TRIM(IF(Transaksi!$C368="","Nominal kosong. ","")&amp;IF(N(Transaksi!$C368)&lt;0,"Nominal negatif. ","")&amp;IF(Transaksi!$B368="","Jenis belum diisi. ","")&amp;IF(Transaksi!$E368="","Kategori belum diisi. ","")&amp;IF(Transaksi!$A368&gt;TODAY(),"Tanggal di masa depan. ","")&amp;IF(COUNTIFS(Transaksi!$A$2:$A$501,Transaksi!$A368,Transaksi!$C$2:$C$501,Transaksi!$C368,Transaksi!$D$2:$D$501,Transaksi!$D368)&gt;1,"Kemungkinan duplikat. ","")))</f>
        <v/>
      </c>
    </row>
    <row r="380" ht="18" customHeight="1">
      <c r="B380" s="21">
        <f>IF(Transaksi!$A369="","",369)</f>
        <v/>
      </c>
      <c r="C380" s="20">
        <f>IF(Transaksi!$A369="","",Transaksi!$A369)</f>
        <v/>
      </c>
      <c r="D380" s="22">
        <f>IF(Transaksi!$A369="","",Transaksi!$C369)</f>
        <v/>
      </c>
      <c r="E380" s="21">
        <f>IF(Transaksi!$A369="","",Transaksi!$D369)</f>
        <v/>
      </c>
      <c r="F380" s="21">
        <f>IF(Transaksi!$A369="","",TRIM(IF(Transaksi!$C369="","Nominal kosong. ","")&amp;IF(N(Transaksi!$C369)&lt;0,"Nominal negatif. ","")&amp;IF(Transaksi!$B369="","Jenis belum diisi. ","")&amp;IF(Transaksi!$E369="","Kategori belum diisi. ","")&amp;IF(Transaksi!$A369&gt;TODAY(),"Tanggal di masa depan. ","")&amp;IF(COUNTIFS(Transaksi!$A$2:$A$501,Transaksi!$A369,Transaksi!$C$2:$C$501,Transaksi!$C369,Transaksi!$D$2:$D$501,Transaksi!$D369)&gt;1,"Kemungkinan duplikat. ","")))</f>
        <v/>
      </c>
    </row>
    <row r="381" ht="18" customHeight="1">
      <c r="B381" s="21">
        <f>IF(Transaksi!$A370="","",370)</f>
        <v/>
      </c>
      <c r="C381" s="20">
        <f>IF(Transaksi!$A370="","",Transaksi!$A370)</f>
        <v/>
      </c>
      <c r="D381" s="22">
        <f>IF(Transaksi!$A370="","",Transaksi!$C370)</f>
        <v/>
      </c>
      <c r="E381" s="21">
        <f>IF(Transaksi!$A370="","",Transaksi!$D370)</f>
        <v/>
      </c>
      <c r="F381" s="21">
        <f>IF(Transaksi!$A370="","",TRIM(IF(Transaksi!$C370="","Nominal kosong. ","")&amp;IF(N(Transaksi!$C370)&lt;0,"Nominal negatif. ","")&amp;IF(Transaksi!$B370="","Jenis belum diisi. ","")&amp;IF(Transaksi!$E370="","Kategori belum diisi. ","")&amp;IF(Transaksi!$A370&gt;TODAY(),"Tanggal di masa depan. ","")&amp;IF(COUNTIFS(Transaksi!$A$2:$A$501,Transaksi!$A370,Transaksi!$C$2:$C$501,Transaksi!$C370,Transaksi!$D$2:$D$501,Transaksi!$D370)&gt;1,"Kemungkinan duplikat. ","")))</f>
        <v/>
      </c>
    </row>
    <row r="382" ht="18" customHeight="1">
      <c r="B382" s="21">
        <f>IF(Transaksi!$A371="","",371)</f>
        <v/>
      </c>
      <c r="C382" s="20">
        <f>IF(Transaksi!$A371="","",Transaksi!$A371)</f>
        <v/>
      </c>
      <c r="D382" s="22">
        <f>IF(Transaksi!$A371="","",Transaksi!$C371)</f>
        <v/>
      </c>
      <c r="E382" s="21">
        <f>IF(Transaksi!$A371="","",Transaksi!$D371)</f>
        <v/>
      </c>
      <c r="F382" s="21">
        <f>IF(Transaksi!$A371="","",TRIM(IF(Transaksi!$C371="","Nominal kosong. ","")&amp;IF(N(Transaksi!$C371)&lt;0,"Nominal negatif. ","")&amp;IF(Transaksi!$B371="","Jenis belum diisi. ","")&amp;IF(Transaksi!$E371="","Kategori belum diisi. ","")&amp;IF(Transaksi!$A371&gt;TODAY(),"Tanggal di masa depan. ","")&amp;IF(COUNTIFS(Transaksi!$A$2:$A$501,Transaksi!$A371,Transaksi!$C$2:$C$501,Transaksi!$C371,Transaksi!$D$2:$D$501,Transaksi!$D371)&gt;1,"Kemungkinan duplikat. ","")))</f>
        <v/>
      </c>
    </row>
    <row r="383" ht="18" customHeight="1">
      <c r="B383" s="21">
        <f>IF(Transaksi!$A372="","",372)</f>
        <v/>
      </c>
      <c r="C383" s="20">
        <f>IF(Transaksi!$A372="","",Transaksi!$A372)</f>
        <v/>
      </c>
      <c r="D383" s="22">
        <f>IF(Transaksi!$A372="","",Transaksi!$C372)</f>
        <v/>
      </c>
      <c r="E383" s="21">
        <f>IF(Transaksi!$A372="","",Transaksi!$D372)</f>
        <v/>
      </c>
      <c r="F383" s="21">
        <f>IF(Transaksi!$A372="","",TRIM(IF(Transaksi!$C372="","Nominal kosong. ","")&amp;IF(N(Transaksi!$C372)&lt;0,"Nominal negatif. ","")&amp;IF(Transaksi!$B372="","Jenis belum diisi. ","")&amp;IF(Transaksi!$E372="","Kategori belum diisi. ","")&amp;IF(Transaksi!$A372&gt;TODAY(),"Tanggal di masa depan. ","")&amp;IF(COUNTIFS(Transaksi!$A$2:$A$501,Transaksi!$A372,Transaksi!$C$2:$C$501,Transaksi!$C372,Transaksi!$D$2:$D$501,Transaksi!$D372)&gt;1,"Kemungkinan duplikat. ","")))</f>
        <v/>
      </c>
    </row>
    <row r="384" ht="18" customHeight="1">
      <c r="B384" s="21">
        <f>IF(Transaksi!$A373="","",373)</f>
        <v/>
      </c>
      <c r="C384" s="20">
        <f>IF(Transaksi!$A373="","",Transaksi!$A373)</f>
        <v/>
      </c>
      <c r="D384" s="22">
        <f>IF(Transaksi!$A373="","",Transaksi!$C373)</f>
        <v/>
      </c>
      <c r="E384" s="21">
        <f>IF(Transaksi!$A373="","",Transaksi!$D373)</f>
        <v/>
      </c>
      <c r="F384" s="21">
        <f>IF(Transaksi!$A373="","",TRIM(IF(Transaksi!$C373="","Nominal kosong. ","")&amp;IF(N(Transaksi!$C373)&lt;0,"Nominal negatif. ","")&amp;IF(Transaksi!$B373="","Jenis belum diisi. ","")&amp;IF(Transaksi!$E373="","Kategori belum diisi. ","")&amp;IF(Transaksi!$A373&gt;TODAY(),"Tanggal di masa depan. ","")&amp;IF(COUNTIFS(Transaksi!$A$2:$A$501,Transaksi!$A373,Transaksi!$C$2:$C$501,Transaksi!$C373,Transaksi!$D$2:$D$501,Transaksi!$D373)&gt;1,"Kemungkinan duplikat. ","")))</f>
        <v/>
      </c>
    </row>
    <row r="385" ht="18" customHeight="1">
      <c r="B385" s="21">
        <f>IF(Transaksi!$A374="","",374)</f>
        <v/>
      </c>
      <c r="C385" s="20">
        <f>IF(Transaksi!$A374="","",Transaksi!$A374)</f>
        <v/>
      </c>
      <c r="D385" s="22">
        <f>IF(Transaksi!$A374="","",Transaksi!$C374)</f>
        <v/>
      </c>
      <c r="E385" s="21">
        <f>IF(Transaksi!$A374="","",Transaksi!$D374)</f>
        <v/>
      </c>
      <c r="F385" s="21">
        <f>IF(Transaksi!$A374="","",TRIM(IF(Transaksi!$C374="","Nominal kosong. ","")&amp;IF(N(Transaksi!$C374)&lt;0,"Nominal negatif. ","")&amp;IF(Transaksi!$B374="","Jenis belum diisi. ","")&amp;IF(Transaksi!$E374="","Kategori belum diisi. ","")&amp;IF(Transaksi!$A374&gt;TODAY(),"Tanggal di masa depan. ","")&amp;IF(COUNTIFS(Transaksi!$A$2:$A$501,Transaksi!$A374,Transaksi!$C$2:$C$501,Transaksi!$C374,Transaksi!$D$2:$D$501,Transaksi!$D374)&gt;1,"Kemungkinan duplikat. ","")))</f>
        <v/>
      </c>
    </row>
    <row r="386" ht="18" customHeight="1">
      <c r="B386" s="21">
        <f>IF(Transaksi!$A375="","",375)</f>
        <v/>
      </c>
      <c r="C386" s="20">
        <f>IF(Transaksi!$A375="","",Transaksi!$A375)</f>
        <v/>
      </c>
      <c r="D386" s="22">
        <f>IF(Transaksi!$A375="","",Transaksi!$C375)</f>
        <v/>
      </c>
      <c r="E386" s="21">
        <f>IF(Transaksi!$A375="","",Transaksi!$D375)</f>
        <v/>
      </c>
      <c r="F386" s="21">
        <f>IF(Transaksi!$A375="","",TRIM(IF(Transaksi!$C375="","Nominal kosong. ","")&amp;IF(N(Transaksi!$C375)&lt;0,"Nominal negatif. ","")&amp;IF(Transaksi!$B375="","Jenis belum diisi. ","")&amp;IF(Transaksi!$E375="","Kategori belum diisi. ","")&amp;IF(Transaksi!$A375&gt;TODAY(),"Tanggal di masa depan. ","")&amp;IF(COUNTIFS(Transaksi!$A$2:$A$501,Transaksi!$A375,Transaksi!$C$2:$C$501,Transaksi!$C375,Transaksi!$D$2:$D$501,Transaksi!$D375)&gt;1,"Kemungkinan duplikat. ","")))</f>
        <v/>
      </c>
    </row>
    <row r="387" ht="18" customHeight="1">
      <c r="B387" s="21">
        <f>IF(Transaksi!$A376="","",376)</f>
        <v/>
      </c>
      <c r="C387" s="20">
        <f>IF(Transaksi!$A376="","",Transaksi!$A376)</f>
        <v/>
      </c>
      <c r="D387" s="22">
        <f>IF(Transaksi!$A376="","",Transaksi!$C376)</f>
        <v/>
      </c>
      <c r="E387" s="21">
        <f>IF(Transaksi!$A376="","",Transaksi!$D376)</f>
        <v/>
      </c>
      <c r="F387" s="21">
        <f>IF(Transaksi!$A376="","",TRIM(IF(Transaksi!$C376="","Nominal kosong. ","")&amp;IF(N(Transaksi!$C376)&lt;0,"Nominal negatif. ","")&amp;IF(Transaksi!$B376="","Jenis belum diisi. ","")&amp;IF(Transaksi!$E376="","Kategori belum diisi. ","")&amp;IF(Transaksi!$A376&gt;TODAY(),"Tanggal di masa depan. ","")&amp;IF(COUNTIFS(Transaksi!$A$2:$A$501,Transaksi!$A376,Transaksi!$C$2:$C$501,Transaksi!$C376,Transaksi!$D$2:$D$501,Transaksi!$D376)&gt;1,"Kemungkinan duplikat. ","")))</f>
        <v/>
      </c>
    </row>
    <row r="388" ht="18" customHeight="1">
      <c r="B388" s="21">
        <f>IF(Transaksi!$A377="","",377)</f>
        <v/>
      </c>
      <c r="C388" s="20">
        <f>IF(Transaksi!$A377="","",Transaksi!$A377)</f>
        <v/>
      </c>
      <c r="D388" s="22">
        <f>IF(Transaksi!$A377="","",Transaksi!$C377)</f>
        <v/>
      </c>
      <c r="E388" s="21">
        <f>IF(Transaksi!$A377="","",Transaksi!$D377)</f>
        <v/>
      </c>
      <c r="F388" s="21">
        <f>IF(Transaksi!$A377="","",TRIM(IF(Transaksi!$C377="","Nominal kosong. ","")&amp;IF(N(Transaksi!$C377)&lt;0,"Nominal negatif. ","")&amp;IF(Transaksi!$B377="","Jenis belum diisi. ","")&amp;IF(Transaksi!$E377="","Kategori belum diisi. ","")&amp;IF(Transaksi!$A377&gt;TODAY(),"Tanggal di masa depan. ","")&amp;IF(COUNTIFS(Transaksi!$A$2:$A$501,Transaksi!$A377,Transaksi!$C$2:$C$501,Transaksi!$C377,Transaksi!$D$2:$D$501,Transaksi!$D377)&gt;1,"Kemungkinan duplikat. ","")))</f>
        <v/>
      </c>
    </row>
    <row r="389" ht="18" customHeight="1">
      <c r="B389" s="21">
        <f>IF(Transaksi!$A378="","",378)</f>
        <v/>
      </c>
      <c r="C389" s="20">
        <f>IF(Transaksi!$A378="","",Transaksi!$A378)</f>
        <v/>
      </c>
      <c r="D389" s="22">
        <f>IF(Transaksi!$A378="","",Transaksi!$C378)</f>
        <v/>
      </c>
      <c r="E389" s="21">
        <f>IF(Transaksi!$A378="","",Transaksi!$D378)</f>
        <v/>
      </c>
      <c r="F389" s="21">
        <f>IF(Transaksi!$A378="","",TRIM(IF(Transaksi!$C378="","Nominal kosong. ","")&amp;IF(N(Transaksi!$C378)&lt;0,"Nominal negatif. ","")&amp;IF(Transaksi!$B378="","Jenis belum diisi. ","")&amp;IF(Transaksi!$E378="","Kategori belum diisi. ","")&amp;IF(Transaksi!$A378&gt;TODAY(),"Tanggal di masa depan. ","")&amp;IF(COUNTIFS(Transaksi!$A$2:$A$501,Transaksi!$A378,Transaksi!$C$2:$C$501,Transaksi!$C378,Transaksi!$D$2:$D$501,Transaksi!$D378)&gt;1,"Kemungkinan duplikat. ","")))</f>
        <v/>
      </c>
    </row>
    <row r="390" ht="18" customHeight="1">
      <c r="B390" s="21">
        <f>IF(Transaksi!$A379="","",379)</f>
        <v/>
      </c>
      <c r="C390" s="20">
        <f>IF(Transaksi!$A379="","",Transaksi!$A379)</f>
        <v/>
      </c>
      <c r="D390" s="22">
        <f>IF(Transaksi!$A379="","",Transaksi!$C379)</f>
        <v/>
      </c>
      <c r="E390" s="21">
        <f>IF(Transaksi!$A379="","",Transaksi!$D379)</f>
        <v/>
      </c>
      <c r="F390" s="21">
        <f>IF(Transaksi!$A379="","",TRIM(IF(Transaksi!$C379="","Nominal kosong. ","")&amp;IF(N(Transaksi!$C379)&lt;0,"Nominal negatif. ","")&amp;IF(Transaksi!$B379="","Jenis belum diisi. ","")&amp;IF(Transaksi!$E379="","Kategori belum diisi. ","")&amp;IF(Transaksi!$A379&gt;TODAY(),"Tanggal di masa depan. ","")&amp;IF(COUNTIFS(Transaksi!$A$2:$A$501,Transaksi!$A379,Transaksi!$C$2:$C$501,Transaksi!$C379,Transaksi!$D$2:$D$501,Transaksi!$D379)&gt;1,"Kemungkinan duplikat. ","")))</f>
        <v/>
      </c>
    </row>
    <row r="391" ht="18" customHeight="1">
      <c r="B391" s="21">
        <f>IF(Transaksi!$A380="","",380)</f>
        <v/>
      </c>
      <c r="C391" s="20">
        <f>IF(Transaksi!$A380="","",Transaksi!$A380)</f>
        <v/>
      </c>
      <c r="D391" s="22">
        <f>IF(Transaksi!$A380="","",Transaksi!$C380)</f>
        <v/>
      </c>
      <c r="E391" s="21">
        <f>IF(Transaksi!$A380="","",Transaksi!$D380)</f>
        <v/>
      </c>
      <c r="F391" s="21">
        <f>IF(Transaksi!$A380="","",TRIM(IF(Transaksi!$C380="","Nominal kosong. ","")&amp;IF(N(Transaksi!$C380)&lt;0,"Nominal negatif. ","")&amp;IF(Transaksi!$B380="","Jenis belum diisi. ","")&amp;IF(Transaksi!$E380="","Kategori belum diisi. ","")&amp;IF(Transaksi!$A380&gt;TODAY(),"Tanggal di masa depan. ","")&amp;IF(COUNTIFS(Transaksi!$A$2:$A$501,Transaksi!$A380,Transaksi!$C$2:$C$501,Transaksi!$C380,Transaksi!$D$2:$D$501,Transaksi!$D380)&gt;1,"Kemungkinan duplikat. ","")))</f>
        <v/>
      </c>
    </row>
    <row r="392" ht="18" customHeight="1">
      <c r="B392" s="21">
        <f>IF(Transaksi!$A381="","",381)</f>
        <v/>
      </c>
      <c r="C392" s="20">
        <f>IF(Transaksi!$A381="","",Transaksi!$A381)</f>
        <v/>
      </c>
      <c r="D392" s="22">
        <f>IF(Transaksi!$A381="","",Transaksi!$C381)</f>
        <v/>
      </c>
      <c r="E392" s="21">
        <f>IF(Transaksi!$A381="","",Transaksi!$D381)</f>
        <v/>
      </c>
      <c r="F392" s="21">
        <f>IF(Transaksi!$A381="","",TRIM(IF(Transaksi!$C381="","Nominal kosong. ","")&amp;IF(N(Transaksi!$C381)&lt;0,"Nominal negatif. ","")&amp;IF(Transaksi!$B381="","Jenis belum diisi. ","")&amp;IF(Transaksi!$E381="","Kategori belum diisi. ","")&amp;IF(Transaksi!$A381&gt;TODAY(),"Tanggal di masa depan. ","")&amp;IF(COUNTIFS(Transaksi!$A$2:$A$501,Transaksi!$A381,Transaksi!$C$2:$C$501,Transaksi!$C381,Transaksi!$D$2:$D$501,Transaksi!$D381)&gt;1,"Kemungkinan duplikat. ","")))</f>
        <v/>
      </c>
    </row>
    <row r="393" ht="18" customHeight="1">
      <c r="B393" s="21">
        <f>IF(Transaksi!$A382="","",382)</f>
        <v/>
      </c>
      <c r="C393" s="20">
        <f>IF(Transaksi!$A382="","",Transaksi!$A382)</f>
        <v/>
      </c>
      <c r="D393" s="22">
        <f>IF(Transaksi!$A382="","",Transaksi!$C382)</f>
        <v/>
      </c>
      <c r="E393" s="21">
        <f>IF(Transaksi!$A382="","",Transaksi!$D382)</f>
        <v/>
      </c>
      <c r="F393" s="21">
        <f>IF(Transaksi!$A382="","",TRIM(IF(Transaksi!$C382="","Nominal kosong. ","")&amp;IF(N(Transaksi!$C382)&lt;0,"Nominal negatif. ","")&amp;IF(Transaksi!$B382="","Jenis belum diisi. ","")&amp;IF(Transaksi!$E382="","Kategori belum diisi. ","")&amp;IF(Transaksi!$A382&gt;TODAY(),"Tanggal di masa depan. ","")&amp;IF(COUNTIFS(Transaksi!$A$2:$A$501,Transaksi!$A382,Transaksi!$C$2:$C$501,Transaksi!$C382,Transaksi!$D$2:$D$501,Transaksi!$D382)&gt;1,"Kemungkinan duplikat. ","")))</f>
        <v/>
      </c>
    </row>
    <row r="394" ht="18" customHeight="1">
      <c r="B394" s="21">
        <f>IF(Transaksi!$A383="","",383)</f>
        <v/>
      </c>
      <c r="C394" s="20">
        <f>IF(Transaksi!$A383="","",Transaksi!$A383)</f>
        <v/>
      </c>
      <c r="D394" s="22">
        <f>IF(Transaksi!$A383="","",Transaksi!$C383)</f>
        <v/>
      </c>
      <c r="E394" s="21">
        <f>IF(Transaksi!$A383="","",Transaksi!$D383)</f>
        <v/>
      </c>
      <c r="F394" s="21">
        <f>IF(Transaksi!$A383="","",TRIM(IF(Transaksi!$C383="","Nominal kosong. ","")&amp;IF(N(Transaksi!$C383)&lt;0,"Nominal negatif. ","")&amp;IF(Transaksi!$B383="","Jenis belum diisi. ","")&amp;IF(Transaksi!$E383="","Kategori belum diisi. ","")&amp;IF(Transaksi!$A383&gt;TODAY(),"Tanggal di masa depan. ","")&amp;IF(COUNTIFS(Transaksi!$A$2:$A$501,Transaksi!$A383,Transaksi!$C$2:$C$501,Transaksi!$C383,Transaksi!$D$2:$D$501,Transaksi!$D383)&gt;1,"Kemungkinan duplikat. ","")))</f>
        <v/>
      </c>
    </row>
    <row r="395" ht="18" customHeight="1">
      <c r="B395" s="21">
        <f>IF(Transaksi!$A384="","",384)</f>
        <v/>
      </c>
      <c r="C395" s="20">
        <f>IF(Transaksi!$A384="","",Transaksi!$A384)</f>
        <v/>
      </c>
      <c r="D395" s="22">
        <f>IF(Transaksi!$A384="","",Transaksi!$C384)</f>
        <v/>
      </c>
      <c r="E395" s="21">
        <f>IF(Transaksi!$A384="","",Transaksi!$D384)</f>
        <v/>
      </c>
      <c r="F395" s="21">
        <f>IF(Transaksi!$A384="","",TRIM(IF(Transaksi!$C384="","Nominal kosong. ","")&amp;IF(N(Transaksi!$C384)&lt;0,"Nominal negatif. ","")&amp;IF(Transaksi!$B384="","Jenis belum diisi. ","")&amp;IF(Transaksi!$E384="","Kategori belum diisi. ","")&amp;IF(Transaksi!$A384&gt;TODAY(),"Tanggal di masa depan. ","")&amp;IF(COUNTIFS(Transaksi!$A$2:$A$501,Transaksi!$A384,Transaksi!$C$2:$C$501,Transaksi!$C384,Transaksi!$D$2:$D$501,Transaksi!$D384)&gt;1,"Kemungkinan duplikat. ","")))</f>
        <v/>
      </c>
    </row>
    <row r="396" ht="18" customHeight="1">
      <c r="B396" s="21">
        <f>IF(Transaksi!$A385="","",385)</f>
        <v/>
      </c>
      <c r="C396" s="20">
        <f>IF(Transaksi!$A385="","",Transaksi!$A385)</f>
        <v/>
      </c>
      <c r="D396" s="22">
        <f>IF(Transaksi!$A385="","",Transaksi!$C385)</f>
        <v/>
      </c>
      <c r="E396" s="21">
        <f>IF(Transaksi!$A385="","",Transaksi!$D385)</f>
        <v/>
      </c>
      <c r="F396" s="21">
        <f>IF(Transaksi!$A385="","",TRIM(IF(Transaksi!$C385="","Nominal kosong. ","")&amp;IF(N(Transaksi!$C385)&lt;0,"Nominal negatif. ","")&amp;IF(Transaksi!$B385="","Jenis belum diisi. ","")&amp;IF(Transaksi!$E385="","Kategori belum diisi. ","")&amp;IF(Transaksi!$A385&gt;TODAY(),"Tanggal di masa depan. ","")&amp;IF(COUNTIFS(Transaksi!$A$2:$A$501,Transaksi!$A385,Transaksi!$C$2:$C$501,Transaksi!$C385,Transaksi!$D$2:$D$501,Transaksi!$D385)&gt;1,"Kemungkinan duplikat. ","")))</f>
        <v/>
      </c>
    </row>
    <row r="397" ht="18" customHeight="1">
      <c r="B397" s="21">
        <f>IF(Transaksi!$A386="","",386)</f>
        <v/>
      </c>
      <c r="C397" s="20">
        <f>IF(Transaksi!$A386="","",Transaksi!$A386)</f>
        <v/>
      </c>
      <c r="D397" s="22">
        <f>IF(Transaksi!$A386="","",Transaksi!$C386)</f>
        <v/>
      </c>
      <c r="E397" s="21">
        <f>IF(Transaksi!$A386="","",Transaksi!$D386)</f>
        <v/>
      </c>
      <c r="F397" s="21">
        <f>IF(Transaksi!$A386="","",TRIM(IF(Transaksi!$C386="","Nominal kosong. ","")&amp;IF(N(Transaksi!$C386)&lt;0,"Nominal negatif. ","")&amp;IF(Transaksi!$B386="","Jenis belum diisi. ","")&amp;IF(Transaksi!$E386="","Kategori belum diisi. ","")&amp;IF(Transaksi!$A386&gt;TODAY(),"Tanggal di masa depan. ","")&amp;IF(COUNTIFS(Transaksi!$A$2:$A$501,Transaksi!$A386,Transaksi!$C$2:$C$501,Transaksi!$C386,Transaksi!$D$2:$D$501,Transaksi!$D386)&gt;1,"Kemungkinan duplikat. ","")))</f>
        <v/>
      </c>
    </row>
    <row r="398" ht="18" customHeight="1">
      <c r="B398" s="21">
        <f>IF(Transaksi!$A387="","",387)</f>
        <v/>
      </c>
      <c r="C398" s="20">
        <f>IF(Transaksi!$A387="","",Transaksi!$A387)</f>
        <v/>
      </c>
      <c r="D398" s="22">
        <f>IF(Transaksi!$A387="","",Transaksi!$C387)</f>
        <v/>
      </c>
      <c r="E398" s="21">
        <f>IF(Transaksi!$A387="","",Transaksi!$D387)</f>
        <v/>
      </c>
      <c r="F398" s="21">
        <f>IF(Transaksi!$A387="","",TRIM(IF(Transaksi!$C387="","Nominal kosong. ","")&amp;IF(N(Transaksi!$C387)&lt;0,"Nominal negatif. ","")&amp;IF(Transaksi!$B387="","Jenis belum diisi. ","")&amp;IF(Transaksi!$E387="","Kategori belum diisi. ","")&amp;IF(Transaksi!$A387&gt;TODAY(),"Tanggal di masa depan. ","")&amp;IF(COUNTIFS(Transaksi!$A$2:$A$501,Transaksi!$A387,Transaksi!$C$2:$C$501,Transaksi!$C387,Transaksi!$D$2:$D$501,Transaksi!$D387)&gt;1,"Kemungkinan duplikat. ","")))</f>
        <v/>
      </c>
    </row>
    <row r="399" ht="18" customHeight="1">
      <c r="B399" s="21">
        <f>IF(Transaksi!$A388="","",388)</f>
        <v/>
      </c>
      <c r="C399" s="20">
        <f>IF(Transaksi!$A388="","",Transaksi!$A388)</f>
        <v/>
      </c>
      <c r="D399" s="22">
        <f>IF(Transaksi!$A388="","",Transaksi!$C388)</f>
        <v/>
      </c>
      <c r="E399" s="21">
        <f>IF(Transaksi!$A388="","",Transaksi!$D388)</f>
        <v/>
      </c>
      <c r="F399" s="21">
        <f>IF(Transaksi!$A388="","",TRIM(IF(Transaksi!$C388="","Nominal kosong. ","")&amp;IF(N(Transaksi!$C388)&lt;0,"Nominal negatif. ","")&amp;IF(Transaksi!$B388="","Jenis belum diisi. ","")&amp;IF(Transaksi!$E388="","Kategori belum diisi. ","")&amp;IF(Transaksi!$A388&gt;TODAY(),"Tanggal di masa depan. ","")&amp;IF(COUNTIFS(Transaksi!$A$2:$A$501,Transaksi!$A388,Transaksi!$C$2:$C$501,Transaksi!$C388,Transaksi!$D$2:$D$501,Transaksi!$D388)&gt;1,"Kemungkinan duplikat. ","")))</f>
        <v/>
      </c>
    </row>
    <row r="400" ht="18" customHeight="1">
      <c r="B400" s="21">
        <f>IF(Transaksi!$A389="","",389)</f>
        <v/>
      </c>
      <c r="C400" s="20">
        <f>IF(Transaksi!$A389="","",Transaksi!$A389)</f>
        <v/>
      </c>
      <c r="D400" s="22">
        <f>IF(Transaksi!$A389="","",Transaksi!$C389)</f>
        <v/>
      </c>
      <c r="E400" s="21">
        <f>IF(Transaksi!$A389="","",Transaksi!$D389)</f>
        <v/>
      </c>
      <c r="F400" s="21">
        <f>IF(Transaksi!$A389="","",TRIM(IF(Transaksi!$C389="","Nominal kosong. ","")&amp;IF(N(Transaksi!$C389)&lt;0,"Nominal negatif. ","")&amp;IF(Transaksi!$B389="","Jenis belum diisi. ","")&amp;IF(Transaksi!$E389="","Kategori belum diisi. ","")&amp;IF(Transaksi!$A389&gt;TODAY(),"Tanggal di masa depan. ","")&amp;IF(COUNTIFS(Transaksi!$A$2:$A$501,Transaksi!$A389,Transaksi!$C$2:$C$501,Transaksi!$C389,Transaksi!$D$2:$D$501,Transaksi!$D389)&gt;1,"Kemungkinan duplikat. ","")))</f>
        <v/>
      </c>
    </row>
    <row r="401" ht="18" customHeight="1">
      <c r="B401" s="21">
        <f>IF(Transaksi!$A390="","",390)</f>
        <v/>
      </c>
      <c r="C401" s="20">
        <f>IF(Transaksi!$A390="","",Transaksi!$A390)</f>
        <v/>
      </c>
      <c r="D401" s="22">
        <f>IF(Transaksi!$A390="","",Transaksi!$C390)</f>
        <v/>
      </c>
      <c r="E401" s="21">
        <f>IF(Transaksi!$A390="","",Transaksi!$D390)</f>
        <v/>
      </c>
      <c r="F401" s="21">
        <f>IF(Transaksi!$A390="","",TRIM(IF(Transaksi!$C390="","Nominal kosong. ","")&amp;IF(N(Transaksi!$C390)&lt;0,"Nominal negatif. ","")&amp;IF(Transaksi!$B390="","Jenis belum diisi. ","")&amp;IF(Transaksi!$E390="","Kategori belum diisi. ","")&amp;IF(Transaksi!$A390&gt;TODAY(),"Tanggal di masa depan. ","")&amp;IF(COUNTIFS(Transaksi!$A$2:$A$501,Transaksi!$A390,Transaksi!$C$2:$C$501,Transaksi!$C390,Transaksi!$D$2:$D$501,Transaksi!$D390)&gt;1,"Kemungkinan duplikat. ","")))</f>
        <v/>
      </c>
    </row>
    <row r="402" ht="18" customHeight="1">
      <c r="B402" s="21">
        <f>IF(Transaksi!$A391="","",391)</f>
        <v/>
      </c>
      <c r="C402" s="20">
        <f>IF(Transaksi!$A391="","",Transaksi!$A391)</f>
        <v/>
      </c>
      <c r="D402" s="22">
        <f>IF(Transaksi!$A391="","",Transaksi!$C391)</f>
        <v/>
      </c>
      <c r="E402" s="21">
        <f>IF(Transaksi!$A391="","",Transaksi!$D391)</f>
        <v/>
      </c>
      <c r="F402" s="21">
        <f>IF(Transaksi!$A391="","",TRIM(IF(Transaksi!$C391="","Nominal kosong. ","")&amp;IF(N(Transaksi!$C391)&lt;0,"Nominal negatif. ","")&amp;IF(Transaksi!$B391="","Jenis belum diisi. ","")&amp;IF(Transaksi!$E391="","Kategori belum diisi. ","")&amp;IF(Transaksi!$A391&gt;TODAY(),"Tanggal di masa depan. ","")&amp;IF(COUNTIFS(Transaksi!$A$2:$A$501,Transaksi!$A391,Transaksi!$C$2:$C$501,Transaksi!$C391,Transaksi!$D$2:$D$501,Transaksi!$D391)&gt;1,"Kemungkinan duplikat. ","")))</f>
        <v/>
      </c>
    </row>
    <row r="403" ht="18" customHeight="1">
      <c r="B403" s="21">
        <f>IF(Transaksi!$A392="","",392)</f>
        <v/>
      </c>
      <c r="C403" s="20">
        <f>IF(Transaksi!$A392="","",Transaksi!$A392)</f>
        <v/>
      </c>
      <c r="D403" s="22">
        <f>IF(Transaksi!$A392="","",Transaksi!$C392)</f>
        <v/>
      </c>
      <c r="E403" s="21">
        <f>IF(Transaksi!$A392="","",Transaksi!$D392)</f>
        <v/>
      </c>
      <c r="F403" s="21">
        <f>IF(Transaksi!$A392="","",TRIM(IF(Transaksi!$C392="","Nominal kosong. ","")&amp;IF(N(Transaksi!$C392)&lt;0,"Nominal negatif. ","")&amp;IF(Transaksi!$B392="","Jenis belum diisi. ","")&amp;IF(Transaksi!$E392="","Kategori belum diisi. ","")&amp;IF(Transaksi!$A392&gt;TODAY(),"Tanggal di masa depan. ","")&amp;IF(COUNTIFS(Transaksi!$A$2:$A$501,Transaksi!$A392,Transaksi!$C$2:$C$501,Transaksi!$C392,Transaksi!$D$2:$D$501,Transaksi!$D392)&gt;1,"Kemungkinan duplikat. ","")))</f>
        <v/>
      </c>
    </row>
    <row r="404" ht="18" customHeight="1">
      <c r="B404" s="21">
        <f>IF(Transaksi!$A393="","",393)</f>
        <v/>
      </c>
      <c r="C404" s="20">
        <f>IF(Transaksi!$A393="","",Transaksi!$A393)</f>
        <v/>
      </c>
      <c r="D404" s="22">
        <f>IF(Transaksi!$A393="","",Transaksi!$C393)</f>
        <v/>
      </c>
      <c r="E404" s="21">
        <f>IF(Transaksi!$A393="","",Transaksi!$D393)</f>
        <v/>
      </c>
      <c r="F404" s="21">
        <f>IF(Transaksi!$A393="","",TRIM(IF(Transaksi!$C393="","Nominal kosong. ","")&amp;IF(N(Transaksi!$C393)&lt;0,"Nominal negatif. ","")&amp;IF(Transaksi!$B393="","Jenis belum diisi. ","")&amp;IF(Transaksi!$E393="","Kategori belum diisi. ","")&amp;IF(Transaksi!$A393&gt;TODAY(),"Tanggal di masa depan. ","")&amp;IF(COUNTIFS(Transaksi!$A$2:$A$501,Transaksi!$A393,Transaksi!$C$2:$C$501,Transaksi!$C393,Transaksi!$D$2:$D$501,Transaksi!$D393)&gt;1,"Kemungkinan duplikat. ","")))</f>
        <v/>
      </c>
    </row>
    <row r="405" ht="18" customHeight="1">
      <c r="B405" s="21">
        <f>IF(Transaksi!$A394="","",394)</f>
        <v/>
      </c>
      <c r="C405" s="20">
        <f>IF(Transaksi!$A394="","",Transaksi!$A394)</f>
        <v/>
      </c>
      <c r="D405" s="22">
        <f>IF(Transaksi!$A394="","",Transaksi!$C394)</f>
        <v/>
      </c>
      <c r="E405" s="21">
        <f>IF(Transaksi!$A394="","",Transaksi!$D394)</f>
        <v/>
      </c>
      <c r="F405" s="21">
        <f>IF(Transaksi!$A394="","",TRIM(IF(Transaksi!$C394="","Nominal kosong. ","")&amp;IF(N(Transaksi!$C394)&lt;0,"Nominal negatif. ","")&amp;IF(Transaksi!$B394="","Jenis belum diisi. ","")&amp;IF(Transaksi!$E394="","Kategori belum diisi. ","")&amp;IF(Transaksi!$A394&gt;TODAY(),"Tanggal di masa depan. ","")&amp;IF(COUNTIFS(Transaksi!$A$2:$A$501,Transaksi!$A394,Transaksi!$C$2:$C$501,Transaksi!$C394,Transaksi!$D$2:$D$501,Transaksi!$D394)&gt;1,"Kemungkinan duplikat. ","")))</f>
        <v/>
      </c>
    </row>
    <row r="406" ht="18" customHeight="1">
      <c r="B406" s="21">
        <f>IF(Transaksi!$A395="","",395)</f>
        <v/>
      </c>
      <c r="C406" s="20">
        <f>IF(Transaksi!$A395="","",Transaksi!$A395)</f>
        <v/>
      </c>
      <c r="D406" s="22">
        <f>IF(Transaksi!$A395="","",Transaksi!$C395)</f>
        <v/>
      </c>
      <c r="E406" s="21">
        <f>IF(Transaksi!$A395="","",Transaksi!$D395)</f>
        <v/>
      </c>
      <c r="F406" s="21">
        <f>IF(Transaksi!$A395="","",TRIM(IF(Transaksi!$C395="","Nominal kosong. ","")&amp;IF(N(Transaksi!$C395)&lt;0,"Nominal negatif. ","")&amp;IF(Transaksi!$B395="","Jenis belum diisi. ","")&amp;IF(Transaksi!$E395="","Kategori belum diisi. ","")&amp;IF(Transaksi!$A395&gt;TODAY(),"Tanggal di masa depan. ","")&amp;IF(COUNTIFS(Transaksi!$A$2:$A$501,Transaksi!$A395,Transaksi!$C$2:$C$501,Transaksi!$C395,Transaksi!$D$2:$D$501,Transaksi!$D395)&gt;1,"Kemungkinan duplikat. ","")))</f>
        <v/>
      </c>
    </row>
    <row r="407" ht="18" customHeight="1">
      <c r="B407" s="21">
        <f>IF(Transaksi!$A396="","",396)</f>
        <v/>
      </c>
      <c r="C407" s="20">
        <f>IF(Transaksi!$A396="","",Transaksi!$A396)</f>
        <v/>
      </c>
      <c r="D407" s="22">
        <f>IF(Transaksi!$A396="","",Transaksi!$C396)</f>
        <v/>
      </c>
      <c r="E407" s="21">
        <f>IF(Transaksi!$A396="","",Transaksi!$D396)</f>
        <v/>
      </c>
      <c r="F407" s="21">
        <f>IF(Transaksi!$A396="","",TRIM(IF(Transaksi!$C396="","Nominal kosong. ","")&amp;IF(N(Transaksi!$C396)&lt;0,"Nominal negatif. ","")&amp;IF(Transaksi!$B396="","Jenis belum diisi. ","")&amp;IF(Transaksi!$E396="","Kategori belum diisi. ","")&amp;IF(Transaksi!$A396&gt;TODAY(),"Tanggal di masa depan. ","")&amp;IF(COUNTIFS(Transaksi!$A$2:$A$501,Transaksi!$A396,Transaksi!$C$2:$C$501,Transaksi!$C396,Transaksi!$D$2:$D$501,Transaksi!$D396)&gt;1,"Kemungkinan duplikat. ","")))</f>
        <v/>
      </c>
    </row>
    <row r="408" ht="18" customHeight="1">
      <c r="B408" s="21">
        <f>IF(Transaksi!$A397="","",397)</f>
        <v/>
      </c>
      <c r="C408" s="20">
        <f>IF(Transaksi!$A397="","",Transaksi!$A397)</f>
        <v/>
      </c>
      <c r="D408" s="22">
        <f>IF(Transaksi!$A397="","",Transaksi!$C397)</f>
        <v/>
      </c>
      <c r="E408" s="21">
        <f>IF(Transaksi!$A397="","",Transaksi!$D397)</f>
        <v/>
      </c>
      <c r="F408" s="21">
        <f>IF(Transaksi!$A397="","",TRIM(IF(Transaksi!$C397="","Nominal kosong. ","")&amp;IF(N(Transaksi!$C397)&lt;0,"Nominal negatif. ","")&amp;IF(Transaksi!$B397="","Jenis belum diisi. ","")&amp;IF(Transaksi!$E397="","Kategori belum diisi. ","")&amp;IF(Transaksi!$A397&gt;TODAY(),"Tanggal di masa depan. ","")&amp;IF(COUNTIFS(Transaksi!$A$2:$A$501,Transaksi!$A397,Transaksi!$C$2:$C$501,Transaksi!$C397,Transaksi!$D$2:$D$501,Transaksi!$D397)&gt;1,"Kemungkinan duplikat. ","")))</f>
        <v/>
      </c>
    </row>
    <row r="409" ht="18" customHeight="1">
      <c r="B409" s="21">
        <f>IF(Transaksi!$A398="","",398)</f>
        <v/>
      </c>
      <c r="C409" s="20">
        <f>IF(Transaksi!$A398="","",Transaksi!$A398)</f>
        <v/>
      </c>
      <c r="D409" s="22">
        <f>IF(Transaksi!$A398="","",Transaksi!$C398)</f>
        <v/>
      </c>
      <c r="E409" s="21">
        <f>IF(Transaksi!$A398="","",Transaksi!$D398)</f>
        <v/>
      </c>
      <c r="F409" s="21">
        <f>IF(Transaksi!$A398="","",TRIM(IF(Transaksi!$C398="","Nominal kosong. ","")&amp;IF(N(Transaksi!$C398)&lt;0,"Nominal negatif. ","")&amp;IF(Transaksi!$B398="","Jenis belum diisi. ","")&amp;IF(Transaksi!$E398="","Kategori belum diisi. ","")&amp;IF(Transaksi!$A398&gt;TODAY(),"Tanggal di masa depan. ","")&amp;IF(COUNTIFS(Transaksi!$A$2:$A$501,Transaksi!$A398,Transaksi!$C$2:$C$501,Transaksi!$C398,Transaksi!$D$2:$D$501,Transaksi!$D398)&gt;1,"Kemungkinan duplikat. ","")))</f>
        <v/>
      </c>
    </row>
    <row r="410" ht="18" customHeight="1">
      <c r="B410" s="21">
        <f>IF(Transaksi!$A399="","",399)</f>
        <v/>
      </c>
      <c r="C410" s="20">
        <f>IF(Transaksi!$A399="","",Transaksi!$A399)</f>
        <v/>
      </c>
      <c r="D410" s="22">
        <f>IF(Transaksi!$A399="","",Transaksi!$C399)</f>
        <v/>
      </c>
      <c r="E410" s="21">
        <f>IF(Transaksi!$A399="","",Transaksi!$D399)</f>
        <v/>
      </c>
      <c r="F410" s="21">
        <f>IF(Transaksi!$A399="","",TRIM(IF(Transaksi!$C399="","Nominal kosong. ","")&amp;IF(N(Transaksi!$C399)&lt;0,"Nominal negatif. ","")&amp;IF(Transaksi!$B399="","Jenis belum diisi. ","")&amp;IF(Transaksi!$E399="","Kategori belum diisi. ","")&amp;IF(Transaksi!$A399&gt;TODAY(),"Tanggal di masa depan. ","")&amp;IF(COUNTIFS(Transaksi!$A$2:$A$501,Transaksi!$A399,Transaksi!$C$2:$C$501,Transaksi!$C399,Transaksi!$D$2:$D$501,Transaksi!$D399)&gt;1,"Kemungkinan duplikat. ","")))</f>
        <v/>
      </c>
    </row>
    <row r="411" ht="18" customHeight="1">
      <c r="B411" s="21">
        <f>IF(Transaksi!$A400="","",400)</f>
        <v/>
      </c>
      <c r="C411" s="20">
        <f>IF(Transaksi!$A400="","",Transaksi!$A400)</f>
        <v/>
      </c>
      <c r="D411" s="22">
        <f>IF(Transaksi!$A400="","",Transaksi!$C400)</f>
        <v/>
      </c>
      <c r="E411" s="21">
        <f>IF(Transaksi!$A400="","",Transaksi!$D400)</f>
        <v/>
      </c>
      <c r="F411" s="21">
        <f>IF(Transaksi!$A400="","",TRIM(IF(Transaksi!$C400="","Nominal kosong. ","")&amp;IF(N(Transaksi!$C400)&lt;0,"Nominal negatif. ","")&amp;IF(Transaksi!$B400="","Jenis belum diisi. ","")&amp;IF(Transaksi!$E400="","Kategori belum diisi. ","")&amp;IF(Transaksi!$A400&gt;TODAY(),"Tanggal di masa depan. ","")&amp;IF(COUNTIFS(Transaksi!$A$2:$A$501,Transaksi!$A400,Transaksi!$C$2:$C$501,Transaksi!$C400,Transaksi!$D$2:$D$501,Transaksi!$D400)&gt;1,"Kemungkinan duplikat. ","")))</f>
        <v/>
      </c>
    </row>
    <row r="412" ht="18" customHeight="1">
      <c r="B412" s="21">
        <f>IF(Transaksi!$A401="","",401)</f>
        <v/>
      </c>
      <c r="C412" s="20">
        <f>IF(Transaksi!$A401="","",Transaksi!$A401)</f>
        <v/>
      </c>
      <c r="D412" s="22">
        <f>IF(Transaksi!$A401="","",Transaksi!$C401)</f>
        <v/>
      </c>
      <c r="E412" s="21">
        <f>IF(Transaksi!$A401="","",Transaksi!$D401)</f>
        <v/>
      </c>
      <c r="F412" s="21">
        <f>IF(Transaksi!$A401="","",TRIM(IF(Transaksi!$C401="","Nominal kosong. ","")&amp;IF(N(Transaksi!$C401)&lt;0,"Nominal negatif. ","")&amp;IF(Transaksi!$B401="","Jenis belum diisi. ","")&amp;IF(Transaksi!$E401="","Kategori belum diisi. ","")&amp;IF(Transaksi!$A401&gt;TODAY(),"Tanggal di masa depan. ","")&amp;IF(COUNTIFS(Transaksi!$A$2:$A$501,Transaksi!$A401,Transaksi!$C$2:$C$501,Transaksi!$C401,Transaksi!$D$2:$D$501,Transaksi!$D401)&gt;1,"Kemungkinan duplikat. ","")))</f>
        <v/>
      </c>
    </row>
    <row r="413" ht="18" customHeight="1">
      <c r="B413" s="21">
        <f>IF(Transaksi!$A402="","",402)</f>
        <v/>
      </c>
      <c r="C413" s="20">
        <f>IF(Transaksi!$A402="","",Transaksi!$A402)</f>
        <v/>
      </c>
      <c r="D413" s="22">
        <f>IF(Transaksi!$A402="","",Transaksi!$C402)</f>
        <v/>
      </c>
      <c r="E413" s="21">
        <f>IF(Transaksi!$A402="","",Transaksi!$D402)</f>
        <v/>
      </c>
      <c r="F413" s="21">
        <f>IF(Transaksi!$A402="","",TRIM(IF(Transaksi!$C402="","Nominal kosong. ","")&amp;IF(N(Transaksi!$C402)&lt;0,"Nominal negatif. ","")&amp;IF(Transaksi!$B402="","Jenis belum diisi. ","")&amp;IF(Transaksi!$E402="","Kategori belum diisi. ","")&amp;IF(Transaksi!$A402&gt;TODAY(),"Tanggal di masa depan. ","")&amp;IF(COUNTIFS(Transaksi!$A$2:$A$501,Transaksi!$A402,Transaksi!$C$2:$C$501,Transaksi!$C402,Transaksi!$D$2:$D$501,Transaksi!$D402)&gt;1,"Kemungkinan duplikat. ","")))</f>
        <v/>
      </c>
    </row>
    <row r="414" ht="18" customHeight="1">
      <c r="B414" s="21">
        <f>IF(Transaksi!$A403="","",403)</f>
        <v/>
      </c>
      <c r="C414" s="20">
        <f>IF(Transaksi!$A403="","",Transaksi!$A403)</f>
        <v/>
      </c>
      <c r="D414" s="22">
        <f>IF(Transaksi!$A403="","",Transaksi!$C403)</f>
        <v/>
      </c>
      <c r="E414" s="21">
        <f>IF(Transaksi!$A403="","",Transaksi!$D403)</f>
        <v/>
      </c>
      <c r="F414" s="21">
        <f>IF(Transaksi!$A403="","",TRIM(IF(Transaksi!$C403="","Nominal kosong. ","")&amp;IF(N(Transaksi!$C403)&lt;0,"Nominal negatif. ","")&amp;IF(Transaksi!$B403="","Jenis belum diisi. ","")&amp;IF(Transaksi!$E403="","Kategori belum diisi. ","")&amp;IF(Transaksi!$A403&gt;TODAY(),"Tanggal di masa depan. ","")&amp;IF(COUNTIFS(Transaksi!$A$2:$A$501,Transaksi!$A403,Transaksi!$C$2:$C$501,Transaksi!$C403,Transaksi!$D$2:$D$501,Transaksi!$D403)&gt;1,"Kemungkinan duplikat. ","")))</f>
        <v/>
      </c>
    </row>
    <row r="415" ht="18" customHeight="1">
      <c r="B415" s="21">
        <f>IF(Transaksi!$A404="","",404)</f>
        <v/>
      </c>
      <c r="C415" s="20">
        <f>IF(Transaksi!$A404="","",Transaksi!$A404)</f>
        <v/>
      </c>
      <c r="D415" s="22">
        <f>IF(Transaksi!$A404="","",Transaksi!$C404)</f>
        <v/>
      </c>
      <c r="E415" s="21">
        <f>IF(Transaksi!$A404="","",Transaksi!$D404)</f>
        <v/>
      </c>
      <c r="F415" s="21">
        <f>IF(Transaksi!$A404="","",TRIM(IF(Transaksi!$C404="","Nominal kosong. ","")&amp;IF(N(Transaksi!$C404)&lt;0,"Nominal negatif. ","")&amp;IF(Transaksi!$B404="","Jenis belum diisi. ","")&amp;IF(Transaksi!$E404="","Kategori belum diisi. ","")&amp;IF(Transaksi!$A404&gt;TODAY(),"Tanggal di masa depan. ","")&amp;IF(COUNTIFS(Transaksi!$A$2:$A$501,Transaksi!$A404,Transaksi!$C$2:$C$501,Transaksi!$C404,Transaksi!$D$2:$D$501,Transaksi!$D404)&gt;1,"Kemungkinan duplikat. ","")))</f>
        <v/>
      </c>
    </row>
    <row r="416" ht="18" customHeight="1">
      <c r="B416" s="21">
        <f>IF(Transaksi!$A405="","",405)</f>
        <v/>
      </c>
      <c r="C416" s="20">
        <f>IF(Transaksi!$A405="","",Transaksi!$A405)</f>
        <v/>
      </c>
      <c r="D416" s="22">
        <f>IF(Transaksi!$A405="","",Transaksi!$C405)</f>
        <v/>
      </c>
      <c r="E416" s="21">
        <f>IF(Transaksi!$A405="","",Transaksi!$D405)</f>
        <v/>
      </c>
      <c r="F416" s="21">
        <f>IF(Transaksi!$A405="","",TRIM(IF(Transaksi!$C405="","Nominal kosong. ","")&amp;IF(N(Transaksi!$C405)&lt;0,"Nominal negatif. ","")&amp;IF(Transaksi!$B405="","Jenis belum diisi. ","")&amp;IF(Transaksi!$E405="","Kategori belum diisi. ","")&amp;IF(Transaksi!$A405&gt;TODAY(),"Tanggal di masa depan. ","")&amp;IF(COUNTIFS(Transaksi!$A$2:$A$501,Transaksi!$A405,Transaksi!$C$2:$C$501,Transaksi!$C405,Transaksi!$D$2:$D$501,Transaksi!$D405)&gt;1,"Kemungkinan duplikat. ","")))</f>
        <v/>
      </c>
    </row>
    <row r="417" ht="18" customHeight="1">
      <c r="B417" s="21">
        <f>IF(Transaksi!$A406="","",406)</f>
        <v/>
      </c>
      <c r="C417" s="20">
        <f>IF(Transaksi!$A406="","",Transaksi!$A406)</f>
        <v/>
      </c>
      <c r="D417" s="22">
        <f>IF(Transaksi!$A406="","",Transaksi!$C406)</f>
        <v/>
      </c>
      <c r="E417" s="21">
        <f>IF(Transaksi!$A406="","",Transaksi!$D406)</f>
        <v/>
      </c>
      <c r="F417" s="21">
        <f>IF(Transaksi!$A406="","",TRIM(IF(Transaksi!$C406="","Nominal kosong. ","")&amp;IF(N(Transaksi!$C406)&lt;0,"Nominal negatif. ","")&amp;IF(Transaksi!$B406="","Jenis belum diisi. ","")&amp;IF(Transaksi!$E406="","Kategori belum diisi. ","")&amp;IF(Transaksi!$A406&gt;TODAY(),"Tanggal di masa depan. ","")&amp;IF(COUNTIFS(Transaksi!$A$2:$A$501,Transaksi!$A406,Transaksi!$C$2:$C$501,Transaksi!$C406,Transaksi!$D$2:$D$501,Transaksi!$D406)&gt;1,"Kemungkinan duplikat. ","")))</f>
        <v/>
      </c>
    </row>
    <row r="418" ht="18" customHeight="1">
      <c r="B418" s="21">
        <f>IF(Transaksi!$A407="","",407)</f>
        <v/>
      </c>
      <c r="C418" s="20">
        <f>IF(Transaksi!$A407="","",Transaksi!$A407)</f>
        <v/>
      </c>
      <c r="D418" s="22">
        <f>IF(Transaksi!$A407="","",Transaksi!$C407)</f>
        <v/>
      </c>
      <c r="E418" s="21">
        <f>IF(Transaksi!$A407="","",Transaksi!$D407)</f>
        <v/>
      </c>
      <c r="F418" s="21">
        <f>IF(Transaksi!$A407="","",TRIM(IF(Transaksi!$C407="","Nominal kosong. ","")&amp;IF(N(Transaksi!$C407)&lt;0,"Nominal negatif. ","")&amp;IF(Transaksi!$B407="","Jenis belum diisi. ","")&amp;IF(Transaksi!$E407="","Kategori belum diisi. ","")&amp;IF(Transaksi!$A407&gt;TODAY(),"Tanggal di masa depan. ","")&amp;IF(COUNTIFS(Transaksi!$A$2:$A$501,Transaksi!$A407,Transaksi!$C$2:$C$501,Transaksi!$C407,Transaksi!$D$2:$D$501,Transaksi!$D407)&gt;1,"Kemungkinan duplikat. ","")))</f>
        <v/>
      </c>
    </row>
    <row r="419" ht="18" customHeight="1">
      <c r="B419" s="21">
        <f>IF(Transaksi!$A408="","",408)</f>
        <v/>
      </c>
      <c r="C419" s="20">
        <f>IF(Transaksi!$A408="","",Transaksi!$A408)</f>
        <v/>
      </c>
      <c r="D419" s="22">
        <f>IF(Transaksi!$A408="","",Transaksi!$C408)</f>
        <v/>
      </c>
      <c r="E419" s="21">
        <f>IF(Transaksi!$A408="","",Transaksi!$D408)</f>
        <v/>
      </c>
      <c r="F419" s="21">
        <f>IF(Transaksi!$A408="","",TRIM(IF(Transaksi!$C408="","Nominal kosong. ","")&amp;IF(N(Transaksi!$C408)&lt;0,"Nominal negatif. ","")&amp;IF(Transaksi!$B408="","Jenis belum diisi. ","")&amp;IF(Transaksi!$E408="","Kategori belum diisi. ","")&amp;IF(Transaksi!$A408&gt;TODAY(),"Tanggal di masa depan. ","")&amp;IF(COUNTIFS(Transaksi!$A$2:$A$501,Transaksi!$A408,Transaksi!$C$2:$C$501,Transaksi!$C408,Transaksi!$D$2:$D$501,Transaksi!$D408)&gt;1,"Kemungkinan duplikat. ","")))</f>
        <v/>
      </c>
    </row>
    <row r="420" ht="18" customHeight="1">
      <c r="B420" s="21">
        <f>IF(Transaksi!$A409="","",409)</f>
        <v/>
      </c>
      <c r="C420" s="20">
        <f>IF(Transaksi!$A409="","",Transaksi!$A409)</f>
        <v/>
      </c>
      <c r="D420" s="22">
        <f>IF(Transaksi!$A409="","",Transaksi!$C409)</f>
        <v/>
      </c>
      <c r="E420" s="21">
        <f>IF(Transaksi!$A409="","",Transaksi!$D409)</f>
        <v/>
      </c>
      <c r="F420" s="21">
        <f>IF(Transaksi!$A409="","",TRIM(IF(Transaksi!$C409="","Nominal kosong. ","")&amp;IF(N(Transaksi!$C409)&lt;0,"Nominal negatif. ","")&amp;IF(Transaksi!$B409="","Jenis belum diisi. ","")&amp;IF(Transaksi!$E409="","Kategori belum diisi. ","")&amp;IF(Transaksi!$A409&gt;TODAY(),"Tanggal di masa depan. ","")&amp;IF(COUNTIFS(Transaksi!$A$2:$A$501,Transaksi!$A409,Transaksi!$C$2:$C$501,Transaksi!$C409,Transaksi!$D$2:$D$501,Transaksi!$D409)&gt;1,"Kemungkinan duplikat. ","")))</f>
        <v/>
      </c>
    </row>
    <row r="421" ht="18" customHeight="1">
      <c r="B421" s="21">
        <f>IF(Transaksi!$A410="","",410)</f>
        <v/>
      </c>
      <c r="C421" s="20">
        <f>IF(Transaksi!$A410="","",Transaksi!$A410)</f>
        <v/>
      </c>
      <c r="D421" s="22">
        <f>IF(Transaksi!$A410="","",Transaksi!$C410)</f>
        <v/>
      </c>
      <c r="E421" s="21">
        <f>IF(Transaksi!$A410="","",Transaksi!$D410)</f>
        <v/>
      </c>
      <c r="F421" s="21">
        <f>IF(Transaksi!$A410="","",TRIM(IF(Transaksi!$C410="","Nominal kosong. ","")&amp;IF(N(Transaksi!$C410)&lt;0,"Nominal negatif. ","")&amp;IF(Transaksi!$B410="","Jenis belum diisi. ","")&amp;IF(Transaksi!$E410="","Kategori belum diisi. ","")&amp;IF(Transaksi!$A410&gt;TODAY(),"Tanggal di masa depan. ","")&amp;IF(COUNTIFS(Transaksi!$A$2:$A$501,Transaksi!$A410,Transaksi!$C$2:$C$501,Transaksi!$C410,Transaksi!$D$2:$D$501,Transaksi!$D410)&gt;1,"Kemungkinan duplikat. ","")))</f>
        <v/>
      </c>
    </row>
    <row r="422" ht="18" customHeight="1">
      <c r="B422" s="21">
        <f>IF(Transaksi!$A411="","",411)</f>
        <v/>
      </c>
      <c r="C422" s="20">
        <f>IF(Transaksi!$A411="","",Transaksi!$A411)</f>
        <v/>
      </c>
      <c r="D422" s="22">
        <f>IF(Transaksi!$A411="","",Transaksi!$C411)</f>
        <v/>
      </c>
      <c r="E422" s="21">
        <f>IF(Transaksi!$A411="","",Transaksi!$D411)</f>
        <v/>
      </c>
      <c r="F422" s="21">
        <f>IF(Transaksi!$A411="","",TRIM(IF(Transaksi!$C411="","Nominal kosong. ","")&amp;IF(N(Transaksi!$C411)&lt;0,"Nominal negatif. ","")&amp;IF(Transaksi!$B411="","Jenis belum diisi. ","")&amp;IF(Transaksi!$E411="","Kategori belum diisi. ","")&amp;IF(Transaksi!$A411&gt;TODAY(),"Tanggal di masa depan. ","")&amp;IF(COUNTIFS(Transaksi!$A$2:$A$501,Transaksi!$A411,Transaksi!$C$2:$C$501,Transaksi!$C411,Transaksi!$D$2:$D$501,Transaksi!$D411)&gt;1,"Kemungkinan duplikat. ","")))</f>
        <v/>
      </c>
    </row>
    <row r="423" ht="18" customHeight="1">
      <c r="B423" s="21">
        <f>IF(Transaksi!$A412="","",412)</f>
        <v/>
      </c>
      <c r="C423" s="20">
        <f>IF(Transaksi!$A412="","",Transaksi!$A412)</f>
        <v/>
      </c>
      <c r="D423" s="22">
        <f>IF(Transaksi!$A412="","",Transaksi!$C412)</f>
        <v/>
      </c>
      <c r="E423" s="21">
        <f>IF(Transaksi!$A412="","",Transaksi!$D412)</f>
        <v/>
      </c>
      <c r="F423" s="21">
        <f>IF(Transaksi!$A412="","",TRIM(IF(Transaksi!$C412="","Nominal kosong. ","")&amp;IF(N(Transaksi!$C412)&lt;0,"Nominal negatif. ","")&amp;IF(Transaksi!$B412="","Jenis belum diisi. ","")&amp;IF(Transaksi!$E412="","Kategori belum diisi. ","")&amp;IF(Transaksi!$A412&gt;TODAY(),"Tanggal di masa depan. ","")&amp;IF(COUNTIFS(Transaksi!$A$2:$A$501,Transaksi!$A412,Transaksi!$C$2:$C$501,Transaksi!$C412,Transaksi!$D$2:$D$501,Transaksi!$D412)&gt;1,"Kemungkinan duplikat. ","")))</f>
        <v/>
      </c>
    </row>
    <row r="424" ht="18" customHeight="1">
      <c r="B424" s="21">
        <f>IF(Transaksi!$A413="","",413)</f>
        <v/>
      </c>
      <c r="C424" s="20">
        <f>IF(Transaksi!$A413="","",Transaksi!$A413)</f>
        <v/>
      </c>
      <c r="D424" s="22">
        <f>IF(Transaksi!$A413="","",Transaksi!$C413)</f>
        <v/>
      </c>
      <c r="E424" s="21">
        <f>IF(Transaksi!$A413="","",Transaksi!$D413)</f>
        <v/>
      </c>
      <c r="F424" s="21">
        <f>IF(Transaksi!$A413="","",TRIM(IF(Transaksi!$C413="","Nominal kosong. ","")&amp;IF(N(Transaksi!$C413)&lt;0,"Nominal negatif. ","")&amp;IF(Transaksi!$B413="","Jenis belum diisi. ","")&amp;IF(Transaksi!$E413="","Kategori belum diisi. ","")&amp;IF(Transaksi!$A413&gt;TODAY(),"Tanggal di masa depan. ","")&amp;IF(COUNTIFS(Transaksi!$A$2:$A$501,Transaksi!$A413,Transaksi!$C$2:$C$501,Transaksi!$C413,Transaksi!$D$2:$D$501,Transaksi!$D413)&gt;1,"Kemungkinan duplikat. ","")))</f>
        <v/>
      </c>
    </row>
    <row r="425" ht="18" customHeight="1">
      <c r="B425" s="21">
        <f>IF(Transaksi!$A414="","",414)</f>
        <v/>
      </c>
      <c r="C425" s="20">
        <f>IF(Transaksi!$A414="","",Transaksi!$A414)</f>
        <v/>
      </c>
      <c r="D425" s="22">
        <f>IF(Transaksi!$A414="","",Transaksi!$C414)</f>
        <v/>
      </c>
      <c r="E425" s="21">
        <f>IF(Transaksi!$A414="","",Transaksi!$D414)</f>
        <v/>
      </c>
      <c r="F425" s="21">
        <f>IF(Transaksi!$A414="","",TRIM(IF(Transaksi!$C414="","Nominal kosong. ","")&amp;IF(N(Transaksi!$C414)&lt;0,"Nominal negatif. ","")&amp;IF(Transaksi!$B414="","Jenis belum diisi. ","")&amp;IF(Transaksi!$E414="","Kategori belum diisi. ","")&amp;IF(Transaksi!$A414&gt;TODAY(),"Tanggal di masa depan. ","")&amp;IF(COUNTIFS(Transaksi!$A$2:$A$501,Transaksi!$A414,Transaksi!$C$2:$C$501,Transaksi!$C414,Transaksi!$D$2:$D$501,Transaksi!$D414)&gt;1,"Kemungkinan duplikat. ","")))</f>
        <v/>
      </c>
    </row>
    <row r="426" ht="18" customHeight="1">
      <c r="B426" s="21">
        <f>IF(Transaksi!$A415="","",415)</f>
        <v/>
      </c>
      <c r="C426" s="20">
        <f>IF(Transaksi!$A415="","",Transaksi!$A415)</f>
        <v/>
      </c>
      <c r="D426" s="22">
        <f>IF(Transaksi!$A415="","",Transaksi!$C415)</f>
        <v/>
      </c>
      <c r="E426" s="21">
        <f>IF(Transaksi!$A415="","",Transaksi!$D415)</f>
        <v/>
      </c>
      <c r="F426" s="21">
        <f>IF(Transaksi!$A415="","",TRIM(IF(Transaksi!$C415="","Nominal kosong. ","")&amp;IF(N(Transaksi!$C415)&lt;0,"Nominal negatif. ","")&amp;IF(Transaksi!$B415="","Jenis belum diisi. ","")&amp;IF(Transaksi!$E415="","Kategori belum diisi. ","")&amp;IF(Transaksi!$A415&gt;TODAY(),"Tanggal di masa depan. ","")&amp;IF(COUNTIFS(Transaksi!$A$2:$A$501,Transaksi!$A415,Transaksi!$C$2:$C$501,Transaksi!$C415,Transaksi!$D$2:$D$501,Transaksi!$D415)&gt;1,"Kemungkinan duplikat. ","")))</f>
        <v/>
      </c>
    </row>
    <row r="427" ht="18" customHeight="1">
      <c r="B427" s="21">
        <f>IF(Transaksi!$A416="","",416)</f>
        <v/>
      </c>
      <c r="C427" s="20">
        <f>IF(Transaksi!$A416="","",Transaksi!$A416)</f>
        <v/>
      </c>
      <c r="D427" s="22">
        <f>IF(Transaksi!$A416="","",Transaksi!$C416)</f>
        <v/>
      </c>
      <c r="E427" s="21">
        <f>IF(Transaksi!$A416="","",Transaksi!$D416)</f>
        <v/>
      </c>
      <c r="F427" s="21">
        <f>IF(Transaksi!$A416="","",TRIM(IF(Transaksi!$C416="","Nominal kosong. ","")&amp;IF(N(Transaksi!$C416)&lt;0,"Nominal negatif. ","")&amp;IF(Transaksi!$B416="","Jenis belum diisi. ","")&amp;IF(Transaksi!$E416="","Kategori belum diisi. ","")&amp;IF(Transaksi!$A416&gt;TODAY(),"Tanggal di masa depan. ","")&amp;IF(COUNTIFS(Transaksi!$A$2:$A$501,Transaksi!$A416,Transaksi!$C$2:$C$501,Transaksi!$C416,Transaksi!$D$2:$D$501,Transaksi!$D416)&gt;1,"Kemungkinan duplikat. ","")))</f>
        <v/>
      </c>
    </row>
    <row r="428" ht="18" customHeight="1">
      <c r="B428" s="21">
        <f>IF(Transaksi!$A417="","",417)</f>
        <v/>
      </c>
      <c r="C428" s="20">
        <f>IF(Transaksi!$A417="","",Transaksi!$A417)</f>
        <v/>
      </c>
      <c r="D428" s="22">
        <f>IF(Transaksi!$A417="","",Transaksi!$C417)</f>
        <v/>
      </c>
      <c r="E428" s="21">
        <f>IF(Transaksi!$A417="","",Transaksi!$D417)</f>
        <v/>
      </c>
      <c r="F428" s="21">
        <f>IF(Transaksi!$A417="","",TRIM(IF(Transaksi!$C417="","Nominal kosong. ","")&amp;IF(N(Transaksi!$C417)&lt;0,"Nominal negatif. ","")&amp;IF(Transaksi!$B417="","Jenis belum diisi. ","")&amp;IF(Transaksi!$E417="","Kategori belum diisi. ","")&amp;IF(Transaksi!$A417&gt;TODAY(),"Tanggal di masa depan. ","")&amp;IF(COUNTIFS(Transaksi!$A$2:$A$501,Transaksi!$A417,Transaksi!$C$2:$C$501,Transaksi!$C417,Transaksi!$D$2:$D$501,Transaksi!$D417)&gt;1,"Kemungkinan duplikat. ","")))</f>
        <v/>
      </c>
    </row>
    <row r="429" ht="18" customHeight="1">
      <c r="B429" s="21">
        <f>IF(Transaksi!$A418="","",418)</f>
        <v/>
      </c>
      <c r="C429" s="20">
        <f>IF(Transaksi!$A418="","",Transaksi!$A418)</f>
        <v/>
      </c>
      <c r="D429" s="22">
        <f>IF(Transaksi!$A418="","",Transaksi!$C418)</f>
        <v/>
      </c>
      <c r="E429" s="21">
        <f>IF(Transaksi!$A418="","",Transaksi!$D418)</f>
        <v/>
      </c>
      <c r="F429" s="21">
        <f>IF(Transaksi!$A418="","",TRIM(IF(Transaksi!$C418="","Nominal kosong. ","")&amp;IF(N(Transaksi!$C418)&lt;0,"Nominal negatif. ","")&amp;IF(Transaksi!$B418="","Jenis belum diisi. ","")&amp;IF(Transaksi!$E418="","Kategori belum diisi. ","")&amp;IF(Transaksi!$A418&gt;TODAY(),"Tanggal di masa depan. ","")&amp;IF(COUNTIFS(Transaksi!$A$2:$A$501,Transaksi!$A418,Transaksi!$C$2:$C$501,Transaksi!$C418,Transaksi!$D$2:$D$501,Transaksi!$D418)&gt;1,"Kemungkinan duplikat. ","")))</f>
        <v/>
      </c>
    </row>
    <row r="430" ht="18" customHeight="1">
      <c r="B430" s="21">
        <f>IF(Transaksi!$A419="","",419)</f>
        <v/>
      </c>
      <c r="C430" s="20">
        <f>IF(Transaksi!$A419="","",Transaksi!$A419)</f>
        <v/>
      </c>
      <c r="D430" s="22">
        <f>IF(Transaksi!$A419="","",Transaksi!$C419)</f>
        <v/>
      </c>
      <c r="E430" s="21">
        <f>IF(Transaksi!$A419="","",Transaksi!$D419)</f>
        <v/>
      </c>
      <c r="F430" s="21">
        <f>IF(Transaksi!$A419="","",TRIM(IF(Transaksi!$C419="","Nominal kosong. ","")&amp;IF(N(Transaksi!$C419)&lt;0,"Nominal negatif. ","")&amp;IF(Transaksi!$B419="","Jenis belum diisi. ","")&amp;IF(Transaksi!$E419="","Kategori belum diisi. ","")&amp;IF(Transaksi!$A419&gt;TODAY(),"Tanggal di masa depan. ","")&amp;IF(COUNTIFS(Transaksi!$A$2:$A$501,Transaksi!$A419,Transaksi!$C$2:$C$501,Transaksi!$C419,Transaksi!$D$2:$D$501,Transaksi!$D419)&gt;1,"Kemungkinan duplikat. ","")))</f>
        <v/>
      </c>
    </row>
    <row r="431" ht="18" customHeight="1">
      <c r="B431" s="21">
        <f>IF(Transaksi!$A420="","",420)</f>
        <v/>
      </c>
      <c r="C431" s="20">
        <f>IF(Transaksi!$A420="","",Transaksi!$A420)</f>
        <v/>
      </c>
      <c r="D431" s="22">
        <f>IF(Transaksi!$A420="","",Transaksi!$C420)</f>
        <v/>
      </c>
      <c r="E431" s="21">
        <f>IF(Transaksi!$A420="","",Transaksi!$D420)</f>
        <v/>
      </c>
      <c r="F431" s="21">
        <f>IF(Transaksi!$A420="","",TRIM(IF(Transaksi!$C420="","Nominal kosong. ","")&amp;IF(N(Transaksi!$C420)&lt;0,"Nominal negatif. ","")&amp;IF(Transaksi!$B420="","Jenis belum diisi. ","")&amp;IF(Transaksi!$E420="","Kategori belum diisi. ","")&amp;IF(Transaksi!$A420&gt;TODAY(),"Tanggal di masa depan. ","")&amp;IF(COUNTIFS(Transaksi!$A$2:$A$501,Transaksi!$A420,Transaksi!$C$2:$C$501,Transaksi!$C420,Transaksi!$D$2:$D$501,Transaksi!$D420)&gt;1,"Kemungkinan duplikat. ","")))</f>
        <v/>
      </c>
    </row>
    <row r="432" ht="18" customHeight="1">
      <c r="B432" s="21">
        <f>IF(Transaksi!$A421="","",421)</f>
        <v/>
      </c>
      <c r="C432" s="20">
        <f>IF(Transaksi!$A421="","",Transaksi!$A421)</f>
        <v/>
      </c>
      <c r="D432" s="22">
        <f>IF(Transaksi!$A421="","",Transaksi!$C421)</f>
        <v/>
      </c>
      <c r="E432" s="21">
        <f>IF(Transaksi!$A421="","",Transaksi!$D421)</f>
        <v/>
      </c>
      <c r="F432" s="21">
        <f>IF(Transaksi!$A421="","",TRIM(IF(Transaksi!$C421="","Nominal kosong. ","")&amp;IF(N(Transaksi!$C421)&lt;0,"Nominal negatif. ","")&amp;IF(Transaksi!$B421="","Jenis belum diisi. ","")&amp;IF(Transaksi!$E421="","Kategori belum diisi. ","")&amp;IF(Transaksi!$A421&gt;TODAY(),"Tanggal di masa depan. ","")&amp;IF(COUNTIFS(Transaksi!$A$2:$A$501,Transaksi!$A421,Transaksi!$C$2:$C$501,Transaksi!$C421,Transaksi!$D$2:$D$501,Transaksi!$D421)&gt;1,"Kemungkinan duplikat. ","")))</f>
        <v/>
      </c>
    </row>
    <row r="433" ht="18" customHeight="1">
      <c r="B433" s="21">
        <f>IF(Transaksi!$A422="","",422)</f>
        <v/>
      </c>
      <c r="C433" s="20">
        <f>IF(Transaksi!$A422="","",Transaksi!$A422)</f>
        <v/>
      </c>
      <c r="D433" s="22">
        <f>IF(Transaksi!$A422="","",Transaksi!$C422)</f>
        <v/>
      </c>
      <c r="E433" s="21">
        <f>IF(Transaksi!$A422="","",Transaksi!$D422)</f>
        <v/>
      </c>
      <c r="F433" s="21">
        <f>IF(Transaksi!$A422="","",TRIM(IF(Transaksi!$C422="","Nominal kosong. ","")&amp;IF(N(Transaksi!$C422)&lt;0,"Nominal negatif. ","")&amp;IF(Transaksi!$B422="","Jenis belum diisi. ","")&amp;IF(Transaksi!$E422="","Kategori belum diisi. ","")&amp;IF(Transaksi!$A422&gt;TODAY(),"Tanggal di masa depan. ","")&amp;IF(COUNTIFS(Transaksi!$A$2:$A$501,Transaksi!$A422,Transaksi!$C$2:$C$501,Transaksi!$C422,Transaksi!$D$2:$D$501,Transaksi!$D422)&gt;1,"Kemungkinan duplikat. ","")))</f>
        <v/>
      </c>
    </row>
    <row r="434" ht="18" customHeight="1">
      <c r="B434" s="21">
        <f>IF(Transaksi!$A423="","",423)</f>
        <v/>
      </c>
      <c r="C434" s="20">
        <f>IF(Transaksi!$A423="","",Transaksi!$A423)</f>
        <v/>
      </c>
      <c r="D434" s="22">
        <f>IF(Transaksi!$A423="","",Transaksi!$C423)</f>
        <v/>
      </c>
      <c r="E434" s="21">
        <f>IF(Transaksi!$A423="","",Transaksi!$D423)</f>
        <v/>
      </c>
      <c r="F434" s="21">
        <f>IF(Transaksi!$A423="","",TRIM(IF(Transaksi!$C423="","Nominal kosong. ","")&amp;IF(N(Transaksi!$C423)&lt;0,"Nominal negatif. ","")&amp;IF(Transaksi!$B423="","Jenis belum diisi. ","")&amp;IF(Transaksi!$E423="","Kategori belum diisi. ","")&amp;IF(Transaksi!$A423&gt;TODAY(),"Tanggal di masa depan. ","")&amp;IF(COUNTIFS(Transaksi!$A$2:$A$501,Transaksi!$A423,Transaksi!$C$2:$C$501,Transaksi!$C423,Transaksi!$D$2:$D$501,Transaksi!$D423)&gt;1,"Kemungkinan duplikat. ","")))</f>
        <v/>
      </c>
    </row>
    <row r="435" ht="18" customHeight="1">
      <c r="B435" s="21">
        <f>IF(Transaksi!$A424="","",424)</f>
        <v/>
      </c>
      <c r="C435" s="20">
        <f>IF(Transaksi!$A424="","",Transaksi!$A424)</f>
        <v/>
      </c>
      <c r="D435" s="22">
        <f>IF(Transaksi!$A424="","",Transaksi!$C424)</f>
        <v/>
      </c>
      <c r="E435" s="21">
        <f>IF(Transaksi!$A424="","",Transaksi!$D424)</f>
        <v/>
      </c>
      <c r="F435" s="21">
        <f>IF(Transaksi!$A424="","",TRIM(IF(Transaksi!$C424="","Nominal kosong. ","")&amp;IF(N(Transaksi!$C424)&lt;0,"Nominal negatif. ","")&amp;IF(Transaksi!$B424="","Jenis belum diisi. ","")&amp;IF(Transaksi!$E424="","Kategori belum diisi. ","")&amp;IF(Transaksi!$A424&gt;TODAY(),"Tanggal di masa depan. ","")&amp;IF(COUNTIFS(Transaksi!$A$2:$A$501,Transaksi!$A424,Transaksi!$C$2:$C$501,Transaksi!$C424,Transaksi!$D$2:$D$501,Transaksi!$D424)&gt;1,"Kemungkinan duplikat. ","")))</f>
        <v/>
      </c>
    </row>
    <row r="436" ht="18" customHeight="1">
      <c r="B436" s="21">
        <f>IF(Transaksi!$A425="","",425)</f>
        <v/>
      </c>
      <c r="C436" s="20">
        <f>IF(Transaksi!$A425="","",Transaksi!$A425)</f>
        <v/>
      </c>
      <c r="D436" s="22">
        <f>IF(Transaksi!$A425="","",Transaksi!$C425)</f>
        <v/>
      </c>
      <c r="E436" s="21">
        <f>IF(Transaksi!$A425="","",Transaksi!$D425)</f>
        <v/>
      </c>
      <c r="F436" s="21">
        <f>IF(Transaksi!$A425="","",TRIM(IF(Transaksi!$C425="","Nominal kosong. ","")&amp;IF(N(Transaksi!$C425)&lt;0,"Nominal negatif. ","")&amp;IF(Transaksi!$B425="","Jenis belum diisi. ","")&amp;IF(Transaksi!$E425="","Kategori belum diisi. ","")&amp;IF(Transaksi!$A425&gt;TODAY(),"Tanggal di masa depan. ","")&amp;IF(COUNTIFS(Transaksi!$A$2:$A$501,Transaksi!$A425,Transaksi!$C$2:$C$501,Transaksi!$C425,Transaksi!$D$2:$D$501,Transaksi!$D425)&gt;1,"Kemungkinan duplikat. ","")))</f>
        <v/>
      </c>
    </row>
    <row r="437" ht="18" customHeight="1">
      <c r="B437" s="21">
        <f>IF(Transaksi!$A426="","",426)</f>
        <v/>
      </c>
      <c r="C437" s="20">
        <f>IF(Transaksi!$A426="","",Transaksi!$A426)</f>
        <v/>
      </c>
      <c r="D437" s="22">
        <f>IF(Transaksi!$A426="","",Transaksi!$C426)</f>
        <v/>
      </c>
      <c r="E437" s="21">
        <f>IF(Transaksi!$A426="","",Transaksi!$D426)</f>
        <v/>
      </c>
      <c r="F437" s="21">
        <f>IF(Transaksi!$A426="","",TRIM(IF(Transaksi!$C426="","Nominal kosong. ","")&amp;IF(N(Transaksi!$C426)&lt;0,"Nominal negatif. ","")&amp;IF(Transaksi!$B426="","Jenis belum diisi. ","")&amp;IF(Transaksi!$E426="","Kategori belum diisi. ","")&amp;IF(Transaksi!$A426&gt;TODAY(),"Tanggal di masa depan. ","")&amp;IF(COUNTIFS(Transaksi!$A$2:$A$501,Transaksi!$A426,Transaksi!$C$2:$C$501,Transaksi!$C426,Transaksi!$D$2:$D$501,Transaksi!$D426)&gt;1,"Kemungkinan duplikat. ","")))</f>
        <v/>
      </c>
    </row>
    <row r="438" ht="18" customHeight="1">
      <c r="B438" s="21">
        <f>IF(Transaksi!$A427="","",427)</f>
        <v/>
      </c>
      <c r="C438" s="20">
        <f>IF(Transaksi!$A427="","",Transaksi!$A427)</f>
        <v/>
      </c>
      <c r="D438" s="22">
        <f>IF(Transaksi!$A427="","",Transaksi!$C427)</f>
        <v/>
      </c>
      <c r="E438" s="21">
        <f>IF(Transaksi!$A427="","",Transaksi!$D427)</f>
        <v/>
      </c>
      <c r="F438" s="21">
        <f>IF(Transaksi!$A427="","",TRIM(IF(Transaksi!$C427="","Nominal kosong. ","")&amp;IF(N(Transaksi!$C427)&lt;0,"Nominal negatif. ","")&amp;IF(Transaksi!$B427="","Jenis belum diisi. ","")&amp;IF(Transaksi!$E427="","Kategori belum diisi. ","")&amp;IF(Transaksi!$A427&gt;TODAY(),"Tanggal di masa depan. ","")&amp;IF(COUNTIFS(Transaksi!$A$2:$A$501,Transaksi!$A427,Transaksi!$C$2:$C$501,Transaksi!$C427,Transaksi!$D$2:$D$501,Transaksi!$D427)&gt;1,"Kemungkinan duplikat. ","")))</f>
        <v/>
      </c>
    </row>
    <row r="439" ht="18" customHeight="1">
      <c r="B439" s="21">
        <f>IF(Transaksi!$A428="","",428)</f>
        <v/>
      </c>
      <c r="C439" s="20">
        <f>IF(Transaksi!$A428="","",Transaksi!$A428)</f>
        <v/>
      </c>
      <c r="D439" s="22">
        <f>IF(Transaksi!$A428="","",Transaksi!$C428)</f>
        <v/>
      </c>
      <c r="E439" s="21">
        <f>IF(Transaksi!$A428="","",Transaksi!$D428)</f>
        <v/>
      </c>
      <c r="F439" s="21">
        <f>IF(Transaksi!$A428="","",TRIM(IF(Transaksi!$C428="","Nominal kosong. ","")&amp;IF(N(Transaksi!$C428)&lt;0,"Nominal negatif. ","")&amp;IF(Transaksi!$B428="","Jenis belum diisi. ","")&amp;IF(Transaksi!$E428="","Kategori belum diisi. ","")&amp;IF(Transaksi!$A428&gt;TODAY(),"Tanggal di masa depan. ","")&amp;IF(COUNTIFS(Transaksi!$A$2:$A$501,Transaksi!$A428,Transaksi!$C$2:$C$501,Transaksi!$C428,Transaksi!$D$2:$D$501,Transaksi!$D428)&gt;1,"Kemungkinan duplikat. ","")))</f>
        <v/>
      </c>
    </row>
    <row r="440" ht="18" customHeight="1">
      <c r="B440" s="21">
        <f>IF(Transaksi!$A429="","",429)</f>
        <v/>
      </c>
      <c r="C440" s="20">
        <f>IF(Transaksi!$A429="","",Transaksi!$A429)</f>
        <v/>
      </c>
      <c r="D440" s="22">
        <f>IF(Transaksi!$A429="","",Transaksi!$C429)</f>
        <v/>
      </c>
      <c r="E440" s="21">
        <f>IF(Transaksi!$A429="","",Transaksi!$D429)</f>
        <v/>
      </c>
      <c r="F440" s="21">
        <f>IF(Transaksi!$A429="","",TRIM(IF(Transaksi!$C429="","Nominal kosong. ","")&amp;IF(N(Transaksi!$C429)&lt;0,"Nominal negatif. ","")&amp;IF(Transaksi!$B429="","Jenis belum diisi. ","")&amp;IF(Transaksi!$E429="","Kategori belum diisi. ","")&amp;IF(Transaksi!$A429&gt;TODAY(),"Tanggal di masa depan. ","")&amp;IF(COUNTIFS(Transaksi!$A$2:$A$501,Transaksi!$A429,Transaksi!$C$2:$C$501,Transaksi!$C429,Transaksi!$D$2:$D$501,Transaksi!$D429)&gt;1,"Kemungkinan duplikat. ","")))</f>
        <v/>
      </c>
    </row>
    <row r="441" ht="18" customHeight="1">
      <c r="B441" s="21">
        <f>IF(Transaksi!$A430="","",430)</f>
        <v/>
      </c>
      <c r="C441" s="20">
        <f>IF(Transaksi!$A430="","",Transaksi!$A430)</f>
        <v/>
      </c>
      <c r="D441" s="22">
        <f>IF(Transaksi!$A430="","",Transaksi!$C430)</f>
        <v/>
      </c>
      <c r="E441" s="21">
        <f>IF(Transaksi!$A430="","",Transaksi!$D430)</f>
        <v/>
      </c>
      <c r="F441" s="21">
        <f>IF(Transaksi!$A430="","",TRIM(IF(Transaksi!$C430="","Nominal kosong. ","")&amp;IF(N(Transaksi!$C430)&lt;0,"Nominal negatif. ","")&amp;IF(Transaksi!$B430="","Jenis belum diisi. ","")&amp;IF(Transaksi!$E430="","Kategori belum diisi. ","")&amp;IF(Transaksi!$A430&gt;TODAY(),"Tanggal di masa depan. ","")&amp;IF(COUNTIFS(Transaksi!$A$2:$A$501,Transaksi!$A430,Transaksi!$C$2:$C$501,Transaksi!$C430,Transaksi!$D$2:$D$501,Transaksi!$D430)&gt;1,"Kemungkinan duplikat. ","")))</f>
        <v/>
      </c>
    </row>
    <row r="442" ht="18" customHeight="1">
      <c r="B442" s="21">
        <f>IF(Transaksi!$A431="","",431)</f>
        <v/>
      </c>
      <c r="C442" s="20">
        <f>IF(Transaksi!$A431="","",Transaksi!$A431)</f>
        <v/>
      </c>
      <c r="D442" s="22">
        <f>IF(Transaksi!$A431="","",Transaksi!$C431)</f>
        <v/>
      </c>
      <c r="E442" s="21">
        <f>IF(Transaksi!$A431="","",Transaksi!$D431)</f>
        <v/>
      </c>
      <c r="F442" s="21">
        <f>IF(Transaksi!$A431="","",TRIM(IF(Transaksi!$C431="","Nominal kosong. ","")&amp;IF(N(Transaksi!$C431)&lt;0,"Nominal negatif. ","")&amp;IF(Transaksi!$B431="","Jenis belum diisi. ","")&amp;IF(Transaksi!$E431="","Kategori belum diisi. ","")&amp;IF(Transaksi!$A431&gt;TODAY(),"Tanggal di masa depan. ","")&amp;IF(COUNTIFS(Transaksi!$A$2:$A$501,Transaksi!$A431,Transaksi!$C$2:$C$501,Transaksi!$C431,Transaksi!$D$2:$D$501,Transaksi!$D431)&gt;1,"Kemungkinan duplikat. ","")))</f>
        <v/>
      </c>
    </row>
    <row r="443" ht="18" customHeight="1">
      <c r="B443" s="21">
        <f>IF(Transaksi!$A432="","",432)</f>
        <v/>
      </c>
      <c r="C443" s="20">
        <f>IF(Transaksi!$A432="","",Transaksi!$A432)</f>
        <v/>
      </c>
      <c r="D443" s="22">
        <f>IF(Transaksi!$A432="","",Transaksi!$C432)</f>
        <v/>
      </c>
      <c r="E443" s="21">
        <f>IF(Transaksi!$A432="","",Transaksi!$D432)</f>
        <v/>
      </c>
      <c r="F443" s="21">
        <f>IF(Transaksi!$A432="","",TRIM(IF(Transaksi!$C432="","Nominal kosong. ","")&amp;IF(N(Transaksi!$C432)&lt;0,"Nominal negatif. ","")&amp;IF(Transaksi!$B432="","Jenis belum diisi. ","")&amp;IF(Transaksi!$E432="","Kategori belum diisi. ","")&amp;IF(Transaksi!$A432&gt;TODAY(),"Tanggal di masa depan. ","")&amp;IF(COUNTIFS(Transaksi!$A$2:$A$501,Transaksi!$A432,Transaksi!$C$2:$C$501,Transaksi!$C432,Transaksi!$D$2:$D$501,Transaksi!$D432)&gt;1,"Kemungkinan duplikat. ","")))</f>
        <v/>
      </c>
    </row>
    <row r="444" ht="18" customHeight="1">
      <c r="B444" s="21">
        <f>IF(Transaksi!$A433="","",433)</f>
        <v/>
      </c>
      <c r="C444" s="20">
        <f>IF(Transaksi!$A433="","",Transaksi!$A433)</f>
        <v/>
      </c>
      <c r="D444" s="22">
        <f>IF(Transaksi!$A433="","",Transaksi!$C433)</f>
        <v/>
      </c>
      <c r="E444" s="21">
        <f>IF(Transaksi!$A433="","",Transaksi!$D433)</f>
        <v/>
      </c>
      <c r="F444" s="21">
        <f>IF(Transaksi!$A433="","",TRIM(IF(Transaksi!$C433="","Nominal kosong. ","")&amp;IF(N(Transaksi!$C433)&lt;0,"Nominal negatif. ","")&amp;IF(Transaksi!$B433="","Jenis belum diisi. ","")&amp;IF(Transaksi!$E433="","Kategori belum diisi. ","")&amp;IF(Transaksi!$A433&gt;TODAY(),"Tanggal di masa depan. ","")&amp;IF(COUNTIFS(Transaksi!$A$2:$A$501,Transaksi!$A433,Transaksi!$C$2:$C$501,Transaksi!$C433,Transaksi!$D$2:$D$501,Transaksi!$D433)&gt;1,"Kemungkinan duplikat. ","")))</f>
        <v/>
      </c>
    </row>
    <row r="445" ht="18" customHeight="1">
      <c r="B445" s="21">
        <f>IF(Transaksi!$A434="","",434)</f>
        <v/>
      </c>
      <c r="C445" s="20">
        <f>IF(Transaksi!$A434="","",Transaksi!$A434)</f>
        <v/>
      </c>
      <c r="D445" s="22">
        <f>IF(Transaksi!$A434="","",Transaksi!$C434)</f>
        <v/>
      </c>
      <c r="E445" s="21">
        <f>IF(Transaksi!$A434="","",Transaksi!$D434)</f>
        <v/>
      </c>
      <c r="F445" s="21">
        <f>IF(Transaksi!$A434="","",TRIM(IF(Transaksi!$C434="","Nominal kosong. ","")&amp;IF(N(Transaksi!$C434)&lt;0,"Nominal negatif. ","")&amp;IF(Transaksi!$B434="","Jenis belum diisi. ","")&amp;IF(Transaksi!$E434="","Kategori belum diisi. ","")&amp;IF(Transaksi!$A434&gt;TODAY(),"Tanggal di masa depan. ","")&amp;IF(COUNTIFS(Transaksi!$A$2:$A$501,Transaksi!$A434,Transaksi!$C$2:$C$501,Transaksi!$C434,Transaksi!$D$2:$D$501,Transaksi!$D434)&gt;1,"Kemungkinan duplikat. ","")))</f>
        <v/>
      </c>
    </row>
    <row r="446" ht="18" customHeight="1">
      <c r="B446" s="21">
        <f>IF(Transaksi!$A435="","",435)</f>
        <v/>
      </c>
      <c r="C446" s="20">
        <f>IF(Transaksi!$A435="","",Transaksi!$A435)</f>
        <v/>
      </c>
      <c r="D446" s="22">
        <f>IF(Transaksi!$A435="","",Transaksi!$C435)</f>
        <v/>
      </c>
      <c r="E446" s="21">
        <f>IF(Transaksi!$A435="","",Transaksi!$D435)</f>
        <v/>
      </c>
      <c r="F446" s="21">
        <f>IF(Transaksi!$A435="","",TRIM(IF(Transaksi!$C435="","Nominal kosong. ","")&amp;IF(N(Transaksi!$C435)&lt;0,"Nominal negatif. ","")&amp;IF(Transaksi!$B435="","Jenis belum diisi. ","")&amp;IF(Transaksi!$E435="","Kategori belum diisi. ","")&amp;IF(Transaksi!$A435&gt;TODAY(),"Tanggal di masa depan. ","")&amp;IF(COUNTIFS(Transaksi!$A$2:$A$501,Transaksi!$A435,Transaksi!$C$2:$C$501,Transaksi!$C435,Transaksi!$D$2:$D$501,Transaksi!$D435)&gt;1,"Kemungkinan duplikat. ","")))</f>
        <v/>
      </c>
    </row>
    <row r="447" ht="18" customHeight="1">
      <c r="B447" s="21">
        <f>IF(Transaksi!$A436="","",436)</f>
        <v/>
      </c>
      <c r="C447" s="20">
        <f>IF(Transaksi!$A436="","",Transaksi!$A436)</f>
        <v/>
      </c>
      <c r="D447" s="22">
        <f>IF(Transaksi!$A436="","",Transaksi!$C436)</f>
        <v/>
      </c>
      <c r="E447" s="21">
        <f>IF(Transaksi!$A436="","",Transaksi!$D436)</f>
        <v/>
      </c>
      <c r="F447" s="21">
        <f>IF(Transaksi!$A436="","",TRIM(IF(Transaksi!$C436="","Nominal kosong. ","")&amp;IF(N(Transaksi!$C436)&lt;0,"Nominal negatif. ","")&amp;IF(Transaksi!$B436="","Jenis belum diisi. ","")&amp;IF(Transaksi!$E436="","Kategori belum diisi. ","")&amp;IF(Transaksi!$A436&gt;TODAY(),"Tanggal di masa depan. ","")&amp;IF(COUNTIFS(Transaksi!$A$2:$A$501,Transaksi!$A436,Transaksi!$C$2:$C$501,Transaksi!$C436,Transaksi!$D$2:$D$501,Transaksi!$D436)&gt;1,"Kemungkinan duplikat. ","")))</f>
        <v/>
      </c>
    </row>
    <row r="448" ht="18" customHeight="1">
      <c r="B448" s="21">
        <f>IF(Transaksi!$A437="","",437)</f>
        <v/>
      </c>
      <c r="C448" s="20">
        <f>IF(Transaksi!$A437="","",Transaksi!$A437)</f>
        <v/>
      </c>
      <c r="D448" s="22">
        <f>IF(Transaksi!$A437="","",Transaksi!$C437)</f>
        <v/>
      </c>
      <c r="E448" s="21">
        <f>IF(Transaksi!$A437="","",Transaksi!$D437)</f>
        <v/>
      </c>
      <c r="F448" s="21">
        <f>IF(Transaksi!$A437="","",TRIM(IF(Transaksi!$C437="","Nominal kosong. ","")&amp;IF(N(Transaksi!$C437)&lt;0,"Nominal negatif. ","")&amp;IF(Transaksi!$B437="","Jenis belum diisi. ","")&amp;IF(Transaksi!$E437="","Kategori belum diisi. ","")&amp;IF(Transaksi!$A437&gt;TODAY(),"Tanggal di masa depan. ","")&amp;IF(COUNTIFS(Transaksi!$A$2:$A$501,Transaksi!$A437,Transaksi!$C$2:$C$501,Transaksi!$C437,Transaksi!$D$2:$D$501,Transaksi!$D437)&gt;1,"Kemungkinan duplikat. ","")))</f>
        <v/>
      </c>
    </row>
    <row r="449" ht="18" customHeight="1">
      <c r="B449" s="21">
        <f>IF(Transaksi!$A438="","",438)</f>
        <v/>
      </c>
      <c r="C449" s="20">
        <f>IF(Transaksi!$A438="","",Transaksi!$A438)</f>
        <v/>
      </c>
      <c r="D449" s="22">
        <f>IF(Transaksi!$A438="","",Transaksi!$C438)</f>
        <v/>
      </c>
      <c r="E449" s="21">
        <f>IF(Transaksi!$A438="","",Transaksi!$D438)</f>
        <v/>
      </c>
      <c r="F449" s="21">
        <f>IF(Transaksi!$A438="","",TRIM(IF(Transaksi!$C438="","Nominal kosong. ","")&amp;IF(N(Transaksi!$C438)&lt;0,"Nominal negatif. ","")&amp;IF(Transaksi!$B438="","Jenis belum diisi. ","")&amp;IF(Transaksi!$E438="","Kategori belum diisi. ","")&amp;IF(Transaksi!$A438&gt;TODAY(),"Tanggal di masa depan. ","")&amp;IF(COUNTIFS(Transaksi!$A$2:$A$501,Transaksi!$A438,Transaksi!$C$2:$C$501,Transaksi!$C438,Transaksi!$D$2:$D$501,Transaksi!$D438)&gt;1,"Kemungkinan duplikat. ","")))</f>
        <v/>
      </c>
    </row>
    <row r="450" ht="18" customHeight="1">
      <c r="B450" s="21">
        <f>IF(Transaksi!$A439="","",439)</f>
        <v/>
      </c>
      <c r="C450" s="20">
        <f>IF(Transaksi!$A439="","",Transaksi!$A439)</f>
        <v/>
      </c>
      <c r="D450" s="22">
        <f>IF(Transaksi!$A439="","",Transaksi!$C439)</f>
        <v/>
      </c>
      <c r="E450" s="21">
        <f>IF(Transaksi!$A439="","",Transaksi!$D439)</f>
        <v/>
      </c>
      <c r="F450" s="21">
        <f>IF(Transaksi!$A439="","",TRIM(IF(Transaksi!$C439="","Nominal kosong. ","")&amp;IF(N(Transaksi!$C439)&lt;0,"Nominal negatif. ","")&amp;IF(Transaksi!$B439="","Jenis belum diisi. ","")&amp;IF(Transaksi!$E439="","Kategori belum diisi. ","")&amp;IF(Transaksi!$A439&gt;TODAY(),"Tanggal di masa depan. ","")&amp;IF(COUNTIFS(Transaksi!$A$2:$A$501,Transaksi!$A439,Transaksi!$C$2:$C$501,Transaksi!$C439,Transaksi!$D$2:$D$501,Transaksi!$D439)&gt;1,"Kemungkinan duplikat. ","")))</f>
        <v/>
      </c>
    </row>
    <row r="451" ht="18" customHeight="1">
      <c r="B451" s="21">
        <f>IF(Transaksi!$A440="","",440)</f>
        <v/>
      </c>
      <c r="C451" s="20">
        <f>IF(Transaksi!$A440="","",Transaksi!$A440)</f>
        <v/>
      </c>
      <c r="D451" s="22">
        <f>IF(Transaksi!$A440="","",Transaksi!$C440)</f>
        <v/>
      </c>
      <c r="E451" s="21">
        <f>IF(Transaksi!$A440="","",Transaksi!$D440)</f>
        <v/>
      </c>
      <c r="F451" s="21">
        <f>IF(Transaksi!$A440="","",TRIM(IF(Transaksi!$C440="","Nominal kosong. ","")&amp;IF(N(Transaksi!$C440)&lt;0,"Nominal negatif. ","")&amp;IF(Transaksi!$B440="","Jenis belum diisi. ","")&amp;IF(Transaksi!$E440="","Kategori belum diisi. ","")&amp;IF(Transaksi!$A440&gt;TODAY(),"Tanggal di masa depan. ","")&amp;IF(COUNTIFS(Transaksi!$A$2:$A$501,Transaksi!$A440,Transaksi!$C$2:$C$501,Transaksi!$C440,Transaksi!$D$2:$D$501,Transaksi!$D440)&gt;1,"Kemungkinan duplikat. ","")))</f>
        <v/>
      </c>
    </row>
    <row r="452" ht="18" customHeight="1">
      <c r="B452" s="21">
        <f>IF(Transaksi!$A441="","",441)</f>
        <v/>
      </c>
      <c r="C452" s="20">
        <f>IF(Transaksi!$A441="","",Transaksi!$A441)</f>
        <v/>
      </c>
      <c r="D452" s="22">
        <f>IF(Transaksi!$A441="","",Transaksi!$C441)</f>
        <v/>
      </c>
      <c r="E452" s="21">
        <f>IF(Transaksi!$A441="","",Transaksi!$D441)</f>
        <v/>
      </c>
      <c r="F452" s="21">
        <f>IF(Transaksi!$A441="","",TRIM(IF(Transaksi!$C441="","Nominal kosong. ","")&amp;IF(N(Transaksi!$C441)&lt;0,"Nominal negatif. ","")&amp;IF(Transaksi!$B441="","Jenis belum diisi. ","")&amp;IF(Transaksi!$E441="","Kategori belum diisi. ","")&amp;IF(Transaksi!$A441&gt;TODAY(),"Tanggal di masa depan. ","")&amp;IF(COUNTIFS(Transaksi!$A$2:$A$501,Transaksi!$A441,Transaksi!$C$2:$C$501,Transaksi!$C441,Transaksi!$D$2:$D$501,Transaksi!$D441)&gt;1,"Kemungkinan duplikat. ","")))</f>
        <v/>
      </c>
    </row>
    <row r="453" ht="18" customHeight="1">
      <c r="B453" s="21">
        <f>IF(Transaksi!$A442="","",442)</f>
        <v/>
      </c>
      <c r="C453" s="20">
        <f>IF(Transaksi!$A442="","",Transaksi!$A442)</f>
        <v/>
      </c>
      <c r="D453" s="22">
        <f>IF(Transaksi!$A442="","",Transaksi!$C442)</f>
        <v/>
      </c>
      <c r="E453" s="21">
        <f>IF(Transaksi!$A442="","",Transaksi!$D442)</f>
        <v/>
      </c>
      <c r="F453" s="21">
        <f>IF(Transaksi!$A442="","",TRIM(IF(Transaksi!$C442="","Nominal kosong. ","")&amp;IF(N(Transaksi!$C442)&lt;0,"Nominal negatif. ","")&amp;IF(Transaksi!$B442="","Jenis belum diisi. ","")&amp;IF(Transaksi!$E442="","Kategori belum diisi. ","")&amp;IF(Transaksi!$A442&gt;TODAY(),"Tanggal di masa depan. ","")&amp;IF(COUNTIFS(Transaksi!$A$2:$A$501,Transaksi!$A442,Transaksi!$C$2:$C$501,Transaksi!$C442,Transaksi!$D$2:$D$501,Transaksi!$D442)&gt;1,"Kemungkinan duplikat. ","")))</f>
        <v/>
      </c>
    </row>
    <row r="454" ht="18" customHeight="1">
      <c r="B454" s="21">
        <f>IF(Transaksi!$A443="","",443)</f>
        <v/>
      </c>
      <c r="C454" s="20">
        <f>IF(Transaksi!$A443="","",Transaksi!$A443)</f>
        <v/>
      </c>
      <c r="D454" s="22">
        <f>IF(Transaksi!$A443="","",Transaksi!$C443)</f>
        <v/>
      </c>
      <c r="E454" s="21">
        <f>IF(Transaksi!$A443="","",Transaksi!$D443)</f>
        <v/>
      </c>
      <c r="F454" s="21">
        <f>IF(Transaksi!$A443="","",TRIM(IF(Transaksi!$C443="","Nominal kosong. ","")&amp;IF(N(Transaksi!$C443)&lt;0,"Nominal negatif. ","")&amp;IF(Transaksi!$B443="","Jenis belum diisi. ","")&amp;IF(Transaksi!$E443="","Kategori belum diisi. ","")&amp;IF(Transaksi!$A443&gt;TODAY(),"Tanggal di masa depan. ","")&amp;IF(COUNTIFS(Transaksi!$A$2:$A$501,Transaksi!$A443,Transaksi!$C$2:$C$501,Transaksi!$C443,Transaksi!$D$2:$D$501,Transaksi!$D443)&gt;1,"Kemungkinan duplikat. ","")))</f>
        <v/>
      </c>
    </row>
    <row r="455" ht="18" customHeight="1">
      <c r="B455" s="21">
        <f>IF(Transaksi!$A444="","",444)</f>
        <v/>
      </c>
      <c r="C455" s="20">
        <f>IF(Transaksi!$A444="","",Transaksi!$A444)</f>
        <v/>
      </c>
      <c r="D455" s="22">
        <f>IF(Transaksi!$A444="","",Transaksi!$C444)</f>
        <v/>
      </c>
      <c r="E455" s="21">
        <f>IF(Transaksi!$A444="","",Transaksi!$D444)</f>
        <v/>
      </c>
      <c r="F455" s="21">
        <f>IF(Transaksi!$A444="","",TRIM(IF(Transaksi!$C444="","Nominal kosong. ","")&amp;IF(N(Transaksi!$C444)&lt;0,"Nominal negatif. ","")&amp;IF(Transaksi!$B444="","Jenis belum diisi. ","")&amp;IF(Transaksi!$E444="","Kategori belum diisi. ","")&amp;IF(Transaksi!$A444&gt;TODAY(),"Tanggal di masa depan. ","")&amp;IF(COUNTIFS(Transaksi!$A$2:$A$501,Transaksi!$A444,Transaksi!$C$2:$C$501,Transaksi!$C444,Transaksi!$D$2:$D$501,Transaksi!$D444)&gt;1,"Kemungkinan duplikat. ","")))</f>
        <v/>
      </c>
    </row>
    <row r="456" ht="18" customHeight="1">
      <c r="B456" s="21">
        <f>IF(Transaksi!$A445="","",445)</f>
        <v/>
      </c>
      <c r="C456" s="20">
        <f>IF(Transaksi!$A445="","",Transaksi!$A445)</f>
        <v/>
      </c>
      <c r="D456" s="22">
        <f>IF(Transaksi!$A445="","",Transaksi!$C445)</f>
        <v/>
      </c>
      <c r="E456" s="21">
        <f>IF(Transaksi!$A445="","",Transaksi!$D445)</f>
        <v/>
      </c>
      <c r="F456" s="21">
        <f>IF(Transaksi!$A445="","",TRIM(IF(Transaksi!$C445="","Nominal kosong. ","")&amp;IF(N(Transaksi!$C445)&lt;0,"Nominal negatif. ","")&amp;IF(Transaksi!$B445="","Jenis belum diisi. ","")&amp;IF(Transaksi!$E445="","Kategori belum diisi. ","")&amp;IF(Transaksi!$A445&gt;TODAY(),"Tanggal di masa depan. ","")&amp;IF(COUNTIFS(Transaksi!$A$2:$A$501,Transaksi!$A445,Transaksi!$C$2:$C$501,Transaksi!$C445,Transaksi!$D$2:$D$501,Transaksi!$D445)&gt;1,"Kemungkinan duplikat. ","")))</f>
        <v/>
      </c>
    </row>
    <row r="457" ht="18" customHeight="1">
      <c r="B457" s="21">
        <f>IF(Transaksi!$A446="","",446)</f>
        <v/>
      </c>
      <c r="C457" s="20">
        <f>IF(Transaksi!$A446="","",Transaksi!$A446)</f>
        <v/>
      </c>
      <c r="D457" s="22">
        <f>IF(Transaksi!$A446="","",Transaksi!$C446)</f>
        <v/>
      </c>
      <c r="E457" s="21">
        <f>IF(Transaksi!$A446="","",Transaksi!$D446)</f>
        <v/>
      </c>
      <c r="F457" s="21">
        <f>IF(Transaksi!$A446="","",TRIM(IF(Transaksi!$C446="","Nominal kosong. ","")&amp;IF(N(Transaksi!$C446)&lt;0,"Nominal negatif. ","")&amp;IF(Transaksi!$B446="","Jenis belum diisi. ","")&amp;IF(Transaksi!$E446="","Kategori belum diisi. ","")&amp;IF(Transaksi!$A446&gt;TODAY(),"Tanggal di masa depan. ","")&amp;IF(COUNTIFS(Transaksi!$A$2:$A$501,Transaksi!$A446,Transaksi!$C$2:$C$501,Transaksi!$C446,Transaksi!$D$2:$D$501,Transaksi!$D446)&gt;1,"Kemungkinan duplikat. ","")))</f>
        <v/>
      </c>
    </row>
    <row r="458" ht="18" customHeight="1">
      <c r="B458" s="21">
        <f>IF(Transaksi!$A447="","",447)</f>
        <v/>
      </c>
      <c r="C458" s="20">
        <f>IF(Transaksi!$A447="","",Transaksi!$A447)</f>
        <v/>
      </c>
      <c r="D458" s="22">
        <f>IF(Transaksi!$A447="","",Transaksi!$C447)</f>
        <v/>
      </c>
      <c r="E458" s="21">
        <f>IF(Transaksi!$A447="","",Transaksi!$D447)</f>
        <v/>
      </c>
      <c r="F458" s="21">
        <f>IF(Transaksi!$A447="","",TRIM(IF(Transaksi!$C447="","Nominal kosong. ","")&amp;IF(N(Transaksi!$C447)&lt;0,"Nominal negatif. ","")&amp;IF(Transaksi!$B447="","Jenis belum diisi. ","")&amp;IF(Transaksi!$E447="","Kategori belum diisi. ","")&amp;IF(Transaksi!$A447&gt;TODAY(),"Tanggal di masa depan. ","")&amp;IF(COUNTIFS(Transaksi!$A$2:$A$501,Transaksi!$A447,Transaksi!$C$2:$C$501,Transaksi!$C447,Transaksi!$D$2:$D$501,Transaksi!$D447)&gt;1,"Kemungkinan duplikat. ","")))</f>
        <v/>
      </c>
    </row>
    <row r="459" ht="18" customHeight="1">
      <c r="B459" s="21">
        <f>IF(Transaksi!$A448="","",448)</f>
        <v/>
      </c>
      <c r="C459" s="20">
        <f>IF(Transaksi!$A448="","",Transaksi!$A448)</f>
        <v/>
      </c>
      <c r="D459" s="22">
        <f>IF(Transaksi!$A448="","",Transaksi!$C448)</f>
        <v/>
      </c>
      <c r="E459" s="21">
        <f>IF(Transaksi!$A448="","",Transaksi!$D448)</f>
        <v/>
      </c>
      <c r="F459" s="21">
        <f>IF(Transaksi!$A448="","",TRIM(IF(Transaksi!$C448="","Nominal kosong. ","")&amp;IF(N(Transaksi!$C448)&lt;0,"Nominal negatif. ","")&amp;IF(Transaksi!$B448="","Jenis belum diisi. ","")&amp;IF(Transaksi!$E448="","Kategori belum diisi. ","")&amp;IF(Transaksi!$A448&gt;TODAY(),"Tanggal di masa depan. ","")&amp;IF(COUNTIFS(Transaksi!$A$2:$A$501,Transaksi!$A448,Transaksi!$C$2:$C$501,Transaksi!$C448,Transaksi!$D$2:$D$501,Transaksi!$D448)&gt;1,"Kemungkinan duplikat. ","")))</f>
        <v/>
      </c>
    </row>
    <row r="460" ht="18" customHeight="1">
      <c r="B460" s="21">
        <f>IF(Transaksi!$A449="","",449)</f>
        <v/>
      </c>
      <c r="C460" s="20">
        <f>IF(Transaksi!$A449="","",Transaksi!$A449)</f>
        <v/>
      </c>
      <c r="D460" s="22">
        <f>IF(Transaksi!$A449="","",Transaksi!$C449)</f>
        <v/>
      </c>
      <c r="E460" s="21">
        <f>IF(Transaksi!$A449="","",Transaksi!$D449)</f>
        <v/>
      </c>
      <c r="F460" s="21">
        <f>IF(Transaksi!$A449="","",TRIM(IF(Transaksi!$C449="","Nominal kosong. ","")&amp;IF(N(Transaksi!$C449)&lt;0,"Nominal negatif. ","")&amp;IF(Transaksi!$B449="","Jenis belum diisi. ","")&amp;IF(Transaksi!$E449="","Kategori belum diisi. ","")&amp;IF(Transaksi!$A449&gt;TODAY(),"Tanggal di masa depan. ","")&amp;IF(COUNTIFS(Transaksi!$A$2:$A$501,Transaksi!$A449,Transaksi!$C$2:$C$501,Transaksi!$C449,Transaksi!$D$2:$D$501,Transaksi!$D449)&gt;1,"Kemungkinan duplikat. ","")))</f>
        <v/>
      </c>
    </row>
    <row r="461" ht="18" customHeight="1">
      <c r="B461" s="21">
        <f>IF(Transaksi!$A450="","",450)</f>
        <v/>
      </c>
      <c r="C461" s="20">
        <f>IF(Transaksi!$A450="","",Transaksi!$A450)</f>
        <v/>
      </c>
      <c r="D461" s="22">
        <f>IF(Transaksi!$A450="","",Transaksi!$C450)</f>
        <v/>
      </c>
      <c r="E461" s="21">
        <f>IF(Transaksi!$A450="","",Transaksi!$D450)</f>
        <v/>
      </c>
      <c r="F461" s="21">
        <f>IF(Transaksi!$A450="","",TRIM(IF(Transaksi!$C450="","Nominal kosong. ","")&amp;IF(N(Transaksi!$C450)&lt;0,"Nominal negatif. ","")&amp;IF(Transaksi!$B450="","Jenis belum diisi. ","")&amp;IF(Transaksi!$E450="","Kategori belum diisi. ","")&amp;IF(Transaksi!$A450&gt;TODAY(),"Tanggal di masa depan. ","")&amp;IF(COUNTIFS(Transaksi!$A$2:$A$501,Transaksi!$A450,Transaksi!$C$2:$C$501,Transaksi!$C450,Transaksi!$D$2:$D$501,Transaksi!$D450)&gt;1,"Kemungkinan duplikat. ","")))</f>
        <v/>
      </c>
    </row>
    <row r="462" ht="18" customHeight="1">
      <c r="B462" s="21">
        <f>IF(Transaksi!$A451="","",451)</f>
        <v/>
      </c>
      <c r="C462" s="20">
        <f>IF(Transaksi!$A451="","",Transaksi!$A451)</f>
        <v/>
      </c>
      <c r="D462" s="22">
        <f>IF(Transaksi!$A451="","",Transaksi!$C451)</f>
        <v/>
      </c>
      <c r="E462" s="21">
        <f>IF(Transaksi!$A451="","",Transaksi!$D451)</f>
        <v/>
      </c>
      <c r="F462" s="21">
        <f>IF(Transaksi!$A451="","",TRIM(IF(Transaksi!$C451="","Nominal kosong. ","")&amp;IF(N(Transaksi!$C451)&lt;0,"Nominal negatif. ","")&amp;IF(Transaksi!$B451="","Jenis belum diisi. ","")&amp;IF(Transaksi!$E451="","Kategori belum diisi. ","")&amp;IF(Transaksi!$A451&gt;TODAY(),"Tanggal di masa depan. ","")&amp;IF(COUNTIFS(Transaksi!$A$2:$A$501,Transaksi!$A451,Transaksi!$C$2:$C$501,Transaksi!$C451,Transaksi!$D$2:$D$501,Transaksi!$D451)&gt;1,"Kemungkinan duplikat. ","")))</f>
        <v/>
      </c>
    </row>
    <row r="463" ht="18" customHeight="1">
      <c r="B463" s="21">
        <f>IF(Transaksi!$A452="","",452)</f>
        <v/>
      </c>
      <c r="C463" s="20">
        <f>IF(Transaksi!$A452="","",Transaksi!$A452)</f>
        <v/>
      </c>
      <c r="D463" s="22">
        <f>IF(Transaksi!$A452="","",Transaksi!$C452)</f>
        <v/>
      </c>
      <c r="E463" s="21">
        <f>IF(Transaksi!$A452="","",Transaksi!$D452)</f>
        <v/>
      </c>
      <c r="F463" s="21">
        <f>IF(Transaksi!$A452="","",TRIM(IF(Transaksi!$C452="","Nominal kosong. ","")&amp;IF(N(Transaksi!$C452)&lt;0,"Nominal negatif. ","")&amp;IF(Transaksi!$B452="","Jenis belum diisi. ","")&amp;IF(Transaksi!$E452="","Kategori belum diisi. ","")&amp;IF(Transaksi!$A452&gt;TODAY(),"Tanggal di masa depan. ","")&amp;IF(COUNTIFS(Transaksi!$A$2:$A$501,Transaksi!$A452,Transaksi!$C$2:$C$501,Transaksi!$C452,Transaksi!$D$2:$D$501,Transaksi!$D452)&gt;1,"Kemungkinan duplikat. ","")))</f>
        <v/>
      </c>
    </row>
    <row r="464" ht="18" customHeight="1">
      <c r="B464" s="21">
        <f>IF(Transaksi!$A453="","",453)</f>
        <v/>
      </c>
      <c r="C464" s="20">
        <f>IF(Transaksi!$A453="","",Transaksi!$A453)</f>
        <v/>
      </c>
      <c r="D464" s="22">
        <f>IF(Transaksi!$A453="","",Transaksi!$C453)</f>
        <v/>
      </c>
      <c r="E464" s="21">
        <f>IF(Transaksi!$A453="","",Transaksi!$D453)</f>
        <v/>
      </c>
      <c r="F464" s="21">
        <f>IF(Transaksi!$A453="","",TRIM(IF(Transaksi!$C453="","Nominal kosong. ","")&amp;IF(N(Transaksi!$C453)&lt;0,"Nominal negatif. ","")&amp;IF(Transaksi!$B453="","Jenis belum diisi. ","")&amp;IF(Transaksi!$E453="","Kategori belum diisi. ","")&amp;IF(Transaksi!$A453&gt;TODAY(),"Tanggal di masa depan. ","")&amp;IF(COUNTIFS(Transaksi!$A$2:$A$501,Transaksi!$A453,Transaksi!$C$2:$C$501,Transaksi!$C453,Transaksi!$D$2:$D$501,Transaksi!$D453)&gt;1,"Kemungkinan duplikat. ","")))</f>
        <v/>
      </c>
    </row>
    <row r="465" ht="18" customHeight="1">
      <c r="B465" s="21">
        <f>IF(Transaksi!$A454="","",454)</f>
        <v/>
      </c>
      <c r="C465" s="20">
        <f>IF(Transaksi!$A454="","",Transaksi!$A454)</f>
        <v/>
      </c>
      <c r="D465" s="22">
        <f>IF(Transaksi!$A454="","",Transaksi!$C454)</f>
        <v/>
      </c>
      <c r="E465" s="21">
        <f>IF(Transaksi!$A454="","",Transaksi!$D454)</f>
        <v/>
      </c>
      <c r="F465" s="21">
        <f>IF(Transaksi!$A454="","",TRIM(IF(Transaksi!$C454="","Nominal kosong. ","")&amp;IF(N(Transaksi!$C454)&lt;0,"Nominal negatif. ","")&amp;IF(Transaksi!$B454="","Jenis belum diisi. ","")&amp;IF(Transaksi!$E454="","Kategori belum diisi. ","")&amp;IF(Transaksi!$A454&gt;TODAY(),"Tanggal di masa depan. ","")&amp;IF(COUNTIFS(Transaksi!$A$2:$A$501,Transaksi!$A454,Transaksi!$C$2:$C$501,Transaksi!$C454,Transaksi!$D$2:$D$501,Transaksi!$D454)&gt;1,"Kemungkinan duplikat. ","")))</f>
        <v/>
      </c>
    </row>
    <row r="466" ht="18" customHeight="1">
      <c r="B466" s="21">
        <f>IF(Transaksi!$A455="","",455)</f>
        <v/>
      </c>
      <c r="C466" s="20">
        <f>IF(Transaksi!$A455="","",Transaksi!$A455)</f>
        <v/>
      </c>
      <c r="D466" s="22">
        <f>IF(Transaksi!$A455="","",Transaksi!$C455)</f>
        <v/>
      </c>
      <c r="E466" s="21">
        <f>IF(Transaksi!$A455="","",Transaksi!$D455)</f>
        <v/>
      </c>
      <c r="F466" s="21">
        <f>IF(Transaksi!$A455="","",TRIM(IF(Transaksi!$C455="","Nominal kosong. ","")&amp;IF(N(Transaksi!$C455)&lt;0,"Nominal negatif. ","")&amp;IF(Transaksi!$B455="","Jenis belum diisi. ","")&amp;IF(Transaksi!$E455="","Kategori belum diisi. ","")&amp;IF(Transaksi!$A455&gt;TODAY(),"Tanggal di masa depan. ","")&amp;IF(COUNTIFS(Transaksi!$A$2:$A$501,Transaksi!$A455,Transaksi!$C$2:$C$501,Transaksi!$C455,Transaksi!$D$2:$D$501,Transaksi!$D455)&gt;1,"Kemungkinan duplikat. ","")))</f>
        <v/>
      </c>
    </row>
    <row r="467" ht="18" customHeight="1">
      <c r="B467" s="21">
        <f>IF(Transaksi!$A456="","",456)</f>
        <v/>
      </c>
      <c r="C467" s="20">
        <f>IF(Transaksi!$A456="","",Transaksi!$A456)</f>
        <v/>
      </c>
      <c r="D467" s="22">
        <f>IF(Transaksi!$A456="","",Transaksi!$C456)</f>
        <v/>
      </c>
      <c r="E467" s="21">
        <f>IF(Transaksi!$A456="","",Transaksi!$D456)</f>
        <v/>
      </c>
      <c r="F467" s="21">
        <f>IF(Transaksi!$A456="","",TRIM(IF(Transaksi!$C456="","Nominal kosong. ","")&amp;IF(N(Transaksi!$C456)&lt;0,"Nominal negatif. ","")&amp;IF(Transaksi!$B456="","Jenis belum diisi. ","")&amp;IF(Transaksi!$E456="","Kategori belum diisi. ","")&amp;IF(Transaksi!$A456&gt;TODAY(),"Tanggal di masa depan. ","")&amp;IF(COUNTIFS(Transaksi!$A$2:$A$501,Transaksi!$A456,Transaksi!$C$2:$C$501,Transaksi!$C456,Transaksi!$D$2:$D$501,Transaksi!$D456)&gt;1,"Kemungkinan duplikat. ","")))</f>
        <v/>
      </c>
    </row>
    <row r="468" ht="18" customHeight="1">
      <c r="B468" s="21">
        <f>IF(Transaksi!$A457="","",457)</f>
        <v/>
      </c>
      <c r="C468" s="20">
        <f>IF(Transaksi!$A457="","",Transaksi!$A457)</f>
        <v/>
      </c>
      <c r="D468" s="22">
        <f>IF(Transaksi!$A457="","",Transaksi!$C457)</f>
        <v/>
      </c>
      <c r="E468" s="21">
        <f>IF(Transaksi!$A457="","",Transaksi!$D457)</f>
        <v/>
      </c>
      <c r="F468" s="21">
        <f>IF(Transaksi!$A457="","",TRIM(IF(Transaksi!$C457="","Nominal kosong. ","")&amp;IF(N(Transaksi!$C457)&lt;0,"Nominal negatif. ","")&amp;IF(Transaksi!$B457="","Jenis belum diisi. ","")&amp;IF(Transaksi!$E457="","Kategori belum diisi. ","")&amp;IF(Transaksi!$A457&gt;TODAY(),"Tanggal di masa depan. ","")&amp;IF(COUNTIFS(Transaksi!$A$2:$A$501,Transaksi!$A457,Transaksi!$C$2:$C$501,Transaksi!$C457,Transaksi!$D$2:$D$501,Transaksi!$D457)&gt;1,"Kemungkinan duplikat. ","")))</f>
        <v/>
      </c>
    </row>
    <row r="469" ht="18" customHeight="1">
      <c r="B469" s="21">
        <f>IF(Transaksi!$A458="","",458)</f>
        <v/>
      </c>
      <c r="C469" s="20">
        <f>IF(Transaksi!$A458="","",Transaksi!$A458)</f>
        <v/>
      </c>
      <c r="D469" s="22">
        <f>IF(Transaksi!$A458="","",Transaksi!$C458)</f>
        <v/>
      </c>
      <c r="E469" s="21">
        <f>IF(Transaksi!$A458="","",Transaksi!$D458)</f>
        <v/>
      </c>
      <c r="F469" s="21">
        <f>IF(Transaksi!$A458="","",TRIM(IF(Transaksi!$C458="","Nominal kosong. ","")&amp;IF(N(Transaksi!$C458)&lt;0,"Nominal negatif. ","")&amp;IF(Transaksi!$B458="","Jenis belum diisi. ","")&amp;IF(Transaksi!$E458="","Kategori belum diisi. ","")&amp;IF(Transaksi!$A458&gt;TODAY(),"Tanggal di masa depan. ","")&amp;IF(COUNTIFS(Transaksi!$A$2:$A$501,Transaksi!$A458,Transaksi!$C$2:$C$501,Transaksi!$C458,Transaksi!$D$2:$D$501,Transaksi!$D458)&gt;1,"Kemungkinan duplikat. ","")))</f>
        <v/>
      </c>
    </row>
    <row r="470" ht="18" customHeight="1">
      <c r="B470" s="21">
        <f>IF(Transaksi!$A459="","",459)</f>
        <v/>
      </c>
      <c r="C470" s="20">
        <f>IF(Transaksi!$A459="","",Transaksi!$A459)</f>
        <v/>
      </c>
      <c r="D470" s="22">
        <f>IF(Transaksi!$A459="","",Transaksi!$C459)</f>
        <v/>
      </c>
      <c r="E470" s="21">
        <f>IF(Transaksi!$A459="","",Transaksi!$D459)</f>
        <v/>
      </c>
      <c r="F470" s="21">
        <f>IF(Transaksi!$A459="","",TRIM(IF(Transaksi!$C459="","Nominal kosong. ","")&amp;IF(N(Transaksi!$C459)&lt;0,"Nominal negatif. ","")&amp;IF(Transaksi!$B459="","Jenis belum diisi. ","")&amp;IF(Transaksi!$E459="","Kategori belum diisi. ","")&amp;IF(Transaksi!$A459&gt;TODAY(),"Tanggal di masa depan. ","")&amp;IF(COUNTIFS(Transaksi!$A$2:$A$501,Transaksi!$A459,Transaksi!$C$2:$C$501,Transaksi!$C459,Transaksi!$D$2:$D$501,Transaksi!$D459)&gt;1,"Kemungkinan duplikat. ","")))</f>
        <v/>
      </c>
    </row>
    <row r="471" ht="18" customHeight="1">
      <c r="B471" s="21">
        <f>IF(Transaksi!$A460="","",460)</f>
        <v/>
      </c>
      <c r="C471" s="20">
        <f>IF(Transaksi!$A460="","",Transaksi!$A460)</f>
        <v/>
      </c>
      <c r="D471" s="22">
        <f>IF(Transaksi!$A460="","",Transaksi!$C460)</f>
        <v/>
      </c>
      <c r="E471" s="21">
        <f>IF(Transaksi!$A460="","",Transaksi!$D460)</f>
        <v/>
      </c>
      <c r="F471" s="21">
        <f>IF(Transaksi!$A460="","",TRIM(IF(Transaksi!$C460="","Nominal kosong. ","")&amp;IF(N(Transaksi!$C460)&lt;0,"Nominal negatif. ","")&amp;IF(Transaksi!$B460="","Jenis belum diisi. ","")&amp;IF(Transaksi!$E460="","Kategori belum diisi. ","")&amp;IF(Transaksi!$A460&gt;TODAY(),"Tanggal di masa depan. ","")&amp;IF(COUNTIFS(Transaksi!$A$2:$A$501,Transaksi!$A460,Transaksi!$C$2:$C$501,Transaksi!$C460,Transaksi!$D$2:$D$501,Transaksi!$D460)&gt;1,"Kemungkinan duplikat. ","")))</f>
        <v/>
      </c>
    </row>
    <row r="472" ht="18" customHeight="1">
      <c r="B472" s="21">
        <f>IF(Transaksi!$A461="","",461)</f>
        <v/>
      </c>
      <c r="C472" s="20">
        <f>IF(Transaksi!$A461="","",Transaksi!$A461)</f>
        <v/>
      </c>
      <c r="D472" s="22">
        <f>IF(Transaksi!$A461="","",Transaksi!$C461)</f>
        <v/>
      </c>
      <c r="E472" s="21">
        <f>IF(Transaksi!$A461="","",Transaksi!$D461)</f>
        <v/>
      </c>
      <c r="F472" s="21">
        <f>IF(Transaksi!$A461="","",TRIM(IF(Transaksi!$C461="","Nominal kosong. ","")&amp;IF(N(Transaksi!$C461)&lt;0,"Nominal negatif. ","")&amp;IF(Transaksi!$B461="","Jenis belum diisi. ","")&amp;IF(Transaksi!$E461="","Kategori belum diisi. ","")&amp;IF(Transaksi!$A461&gt;TODAY(),"Tanggal di masa depan. ","")&amp;IF(COUNTIFS(Transaksi!$A$2:$A$501,Transaksi!$A461,Transaksi!$C$2:$C$501,Transaksi!$C461,Transaksi!$D$2:$D$501,Transaksi!$D461)&gt;1,"Kemungkinan duplikat. ","")))</f>
        <v/>
      </c>
    </row>
    <row r="473" ht="18" customHeight="1">
      <c r="B473" s="21">
        <f>IF(Transaksi!$A462="","",462)</f>
        <v/>
      </c>
      <c r="C473" s="20">
        <f>IF(Transaksi!$A462="","",Transaksi!$A462)</f>
        <v/>
      </c>
      <c r="D473" s="22">
        <f>IF(Transaksi!$A462="","",Transaksi!$C462)</f>
        <v/>
      </c>
      <c r="E473" s="21">
        <f>IF(Transaksi!$A462="","",Transaksi!$D462)</f>
        <v/>
      </c>
      <c r="F473" s="21">
        <f>IF(Transaksi!$A462="","",TRIM(IF(Transaksi!$C462="","Nominal kosong. ","")&amp;IF(N(Transaksi!$C462)&lt;0,"Nominal negatif. ","")&amp;IF(Transaksi!$B462="","Jenis belum diisi. ","")&amp;IF(Transaksi!$E462="","Kategori belum diisi. ","")&amp;IF(Transaksi!$A462&gt;TODAY(),"Tanggal di masa depan. ","")&amp;IF(COUNTIFS(Transaksi!$A$2:$A$501,Transaksi!$A462,Transaksi!$C$2:$C$501,Transaksi!$C462,Transaksi!$D$2:$D$501,Transaksi!$D462)&gt;1,"Kemungkinan duplikat. ","")))</f>
        <v/>
      </c>
    </row>
    <row r="474" ht="18" customHeight="1">
      <c r="B474" s="21">
        <f>IF(Transaksi!$A463="","",463)</f>
        <v/>
      </c>
      <c r="C474" s="20">
        <f>IF(Transaksi!$A463="","",Transaksi!$A463)</f>
        <v/>
      </c>
      <c r="D474" s="22">
        <f>IF(Transaksi!$A463="","",Transaksi!$C463)</f>
        <v/>
      </c>
      <c r="E474" s="21">
        <f>IF(Transaksi!$A463="","",Transaksi!$D463)</f>
        <v/>
      </c>
      <c r="F474" s="21">
        <f>IF(Transaksi!$A463="","",TRIM(IF(Transaksi!$C463="","Nominal kosong. ","")&amp;IF(N(Transaksi!$C463)&lt;0,"Nominal negatif. ","")&amp;IF(Transaksi!$B463="","Jenis belum diisi. ","")&amp;IF(Transaksi!$E463="","Kategori belum diisi. ","")&amp;IF(Transaksi!$A463&gt;TODAY(),"Tanggal di masa depan. ","")&amp;IF(COUNTIFS(Transaksi!$A$2:$A$501,Transaksi!$A463,Transaksi!$C$2:$C$501,Transaksi!$C463,Transaksi!$D$2:$D$501,Transaksi!$D463)&gt;1,"Kemungkinan duplikat. ","")))</f>
        <v/>
      </c>
    </row>
    <row r="475" ht="18" customHeight="1">
      <c r="B475" s="21">
        <f>IF(Transaksi!$A464="","",464)</f>
        <v/>
      </c>
      <c r="C475" s="20">
        <f>IF(Transaksi!$A464="","",Transaksi!$A464)</f>
        <v/>
      </c>
      <c r="D475" s="22">
        <f>IF(Transaksi!$A464="","",Transaksi!$C464)</f>
        <v/>
      </c>
      <c r="E475" s="21">
        <f>IF(Transaksi!$A464="","",Transaksi!$D464)</f>
        <v/>
      </c>
      <c r="F475" s="21">
        <f>IF(Transaksi!$A464="","",TRIM(IF(Transaksi!$C464="","Nominal kosong. ","")&amp;IF(N(Transaksi!$C464)&lt;0,"Nominal negatif. ","")&amp;IF(Transaksi!$B464="","Jenis belum diisi. ","")&amp;IF(Transaksi!$E464="","Kategori belum diisi. ","")&amp;IF(Transaksi!$A464&gt;TODAY(),"Tanggal di masa depan. ","")&amp;IF(COUNTIFS(Transaksi!$A$2:$A$501,Transaksi!$A464,Transaksi!$C$2:$C$501,Transaksi!$C464,Transaksi!$D$2:$D$501,Transaksi!$D464)&gt;1,"Kemungkinan duplikat. ","")))</f>
        <v/>
      </c>
    </row>
    <row r="476" ht="18" customHeight="1">
      <c r="B476" s="21">
        <f>IF(Transaksi!$A465="","",465)</f>
        <v/>
      </c>
      <c r="C476" s="20">
        <f>IF(Transaksi!$A465="","",Transaksi!$A465)</f>
        <v/>
      </c>
      <c r="D476" s="22">
        <f>IF(Transaksi!$A465="","",Transaksi!$C465)</f>
        <v/>
      </c>
      <c r="E476" s="21">
        <f>IF(Transaksi!$A465="","",Transaksi!$D465)</f>
        <v/>
      </c>
      <c r="F476" s="21">
        <f>IF(Transaksi!$A465="","",TRIM(IF(Transaksi!$C465="","Nominal kosong. ","")&amp;IF(N(Transaksi!$C465)&lt;0,"Nominal negatif. ","")&amp;IF(Transaksi!$B465="","Jenis belum diisi. ","")&amp;IF(Transaksi!$E465="","Kategori belum diisi. ","")&amp;IF(Transaksi!$A465&gt;TODAY(),"Tanggal di masa depan. ","")&amp;IF(COUNTIFS(Transaksi!$A$2:$A$501,Transaksi!$A465,Transaksi!$C$2:$C$501,Transaksi!$C465,Transaksi!$D$2:$D$501,Transaksi!$D465)&gt;1,"Kemungkinan duplikat. ","")))</f>
        <v/>
      </c>
    </row>
    <row r="477" ht="18" customHeight="1">
      <c r="B477" s="21">
        <f>IF(Transaksi!$A466="","",466)</f>
        <v/>
      </c>
      <c r="C477" s="20">
        <f>IF(Transaksi!$A466="","",Transaksi!$A466)</f>
        <v/>
      </c>
      <c r="D477" s="22">
        <f>IF(Transaksi!$A466="","",Transaksi!$C466)</f>
        <v/>
      </c>
      <c r="E477" s="21">
        <f>IF(Transaksi!$A466="","",Transaksi!$D466)</f>
        <v/>
      </c>
      <c r="F477" s="21">
        <f>IF(Transaksi!$A466="","",TRIM(IF(Transaksi!$C466="","Nominal kosong. ","")&amp;IF(N(Transaksi!$C466)&lt;0,"Nominal negatif. ","")&amp;IF(Transaksi!$B466="","Jenis belum diisi. ","")&amp;IF(Transaksi!$E466="","Kategori belum diisi. ","")&amp;IF(Transaksi!$A466&gt;TODAY(),"Tanggal di masa depan. ","")&amp;IF(COUNTIFS(Transaksi!$A$2:$A$501,Transaksi!$A466,Transaksi!$C$2:$C$501,Transaksi!$C466,Transaksi!$D$2:$D$501,Transaksi!$D466)&gt;1,"Kemungkinan duplikat. ","")))</f>
        <v/>
      </c>
    </row>
    <row r="478" ht="18" customHeight="1">
      <c r="B478" s="21">
        <f>IF(Transaksi!$A467="","",467)</f>
        <v/>
      </c>
      <c r="C478" s="20">
        <f>IF(Transaksi!$A467="","",Transaksi!$A467)</f>
        <v/>
      </c>
      <c r="D478" s="22">
        <f>IF(Transaksi!$A467="","",Transaksi!$C467)</f>
        <v/>
      </c>
      <c r="E478" s="21">
        <f>IF(Transaksi!$A467="","",Transaksi!$D467)</f>
        <v/>
      </c>
      <c r="F478" s="21">
        <f>IF(Transaksi!$A467="","",TRIM(IF(Transaksi!$C467="","Nominal kosong. ","")&amp;IF(N(Transaksi!$C467)&lt;0,"Nominal negatif. ","")&amp;IF(Transaksi!$B467="","Jenis belum diisi. ","")&amp;IF(Transaksi!$E467="","Kategori belum diisi. ","")&amp;IF(Transaksi!$A467&gt;TODAY(),"Tanggal di masa depan. ","")&amp;IF(COUNTIFS(Transaksi!$A$2:$A$501,Transaksi!$A467,Transaksi!$C$2:$C$501,Transaksi!$C467,Transaksi!$D$2:$D$501,Transaksi!$D467)&gt;1,"Kemungkinan duplikat. ","")))</f>
        <v/>
      </c>
    </row>
    <row r="479" ht="18" customHeight="1">
      <c r="B479" s="21">
        <f>IF(Transaksi!$A468="","",468)</f>
        <v/>
      </c>
      <c r="C479" s="20">
        <f>IF(Transaksi!$A468="","",Transaksi!$A468)</f>
        <v/>
      </c>
      <c r="D479" s="22">
        <f>IF(Transaksi!$A468="","",Transaksi!$C468)</f>
        <v/>
      </c>
      <c r="E479" s="21">
        <f>IF(Transaksi!$A468="","",Transaksi!$D468)</f>
        <v/>
      </c>
      <c r="F479" s="21">
        <f>IF(Transaksi!$A468="","",TRIM(IF(Transaksi!$C468="","Nominal kosong. ","")&amp;IF(N(Transaksi!$C468)&lt;0,"Nominal negatif. ","")&amp;IF(Transaksi!$B468="","Jenis belum diisi. ","")&amp;IF(Transaksi!$E468="","Kategori belum diisi. ","")&amp;IF(Transaksi!$A468&gt;TODAY(),"Tanggal di masa depan. ","")&amp;IF(COUNTIFS(Transaksi!$A$2:$A$501,Transaksi!$A468,Transaksi!$C$2:$C$501,Transaksi!$C468,Transaksi!$D$2:$D$501,Transaksi!$D468)&gt;1,"Kemungkinan duplikat. ","")))</f>
        <v/>
      </c>
    </row>
    <row r="480" ht="18" customHeight="1">
      <c r="B480" s="21">
        <f>IF(Transaksi!$A469="","",469)</f>
        <v/>
      </c>
      <c r="C480" s="20">
        <f>IF(Transaksi!$A469="","",Transaksi!$A469)</f>
        <v/>
      </c>
      <c r="D480" s="22">
        <f>IF(Transaksi!$A469="","",Transaksi!$C469)</f>
        <v/>
      </c>
      <c r="E480" s="21">
        <f>IF(Transaksi!$A469="","",Transaksi!$D469)</f>
        <v/>
      </c>
      <c r="F480" s="21">
        <f>IF(Transaksi!$A469="","",TRIM(IF(Transaksi!$C469="","Nominal kosong. ","")&amp;IF(N(Transaksi!$C469)&lt;0,"Nominal negatif. ","")&amp;IF(Transaksi!$B469="","Jenis belum diisi. ","")&amp;IF(Transaksi!$E469="","Kategori belum diisi. ","")&amp;IF(Transaksi!$A469&gt;TODAY(),"Tanggal di masa depan. ","")&amp;IF(COUNTIFS(Transaksi!$A$2:$A$501,Transaksi!$A469,Transaksi!$C$2:$C$501,Transaksi!$C469,Transaksi!$D$2:$D$501,Transaksi!$D469)&gt;1,"Kemungkinan duplikat. ","")))</f>
        <v/>
      </c>
    </row>
    <row r="481" ht="18" customHeight="1">
      <c r="B481" s="21">
        <f>IF(Transaksi!$A470="","",470)</f>
        <v/>
      </c>
      <c r="C481" s="20">
        <f>IF(Transaksi!$A470="","",Transaksi!$A470)</f>
        <v/>
      </c>
      <c r="D481" s="22">
        <f>IF(Transaksi!$A470="","",Transaksi!$C470)</f>
        <v/>
      </c>
      <c r="E481" s="21">
        <f>IF(Transaksi!$A470="","",Transaksi!$D470)</f>
        <v/>
      </c>
      <c r="F481" s="21">
        <f>IF(Transaksi!$A470="","",TRIM(IF(Transaksi!$C470="","Nominal kosong. ","")&amp;IF(N(Transaksi!$C470)&lt;0,"Nominal negatif. ","")&amp;IF(Transaksi!$B470="","Jenis belum diisi. ","")&amp;IF(Transaksi!$E470="","Kategori belum diisi. ","")&amp;IF(Transaksi!$A470&gt;TODAY(),"Tanggal di masa depan. ","")&amp;IF(COUNTIFS(Transaksi!$A$2:$A$501,Transaksi!$A470,Transaksi!$C$2:$C$501,Transaksi!$C470,Transaksi!$D$2:$D$501,Transaksi!$D470)&gt;1,"Kemungkinan duplikat. ","")))</f>
        <v/>
      </c>
    </row>
    <row r="482" ht="18" customHeight="1">
      <c r="B482" s="21">
        <f>IF(Transaksi!$A471="","",471)</f>
        <v/>
      </c>
      <c r="C482" s="20">
        <f>IF(Transaksi!$A471="","",Transaksi!$A471)</f>
        <v/>
      </c>
      <c r="D482" s="22">
        <f>IF(Transaksi!$A471="","",Transaksi!$C471)</f>
        <v/>
      </c>
      <c r="E482" s="21">
        <f>IF(Transaksi!$A471="","",Transaksi!$D471)</f>
        <v/>
      </c>
      <c r="F482" s="21">
        <f>IF(Transaksi!$A471="","",TRIM(IF(Transaksi!$C471="","Nominal kosong. ","")&amp;IF(N(Transaksi!$C471)&lt;0,"Nominal negatif. ","")&amp;IF(Transaksi!$B471="","Jenis belum diisi. ","")&amp;IF(Transaksi!$E471="","Kategori belum diisi. ","")&amp;IF(Transaksi!$A471&gt;TODAY(),"Tanggal di masa depan. ","")&amp;IF(COUNTIFS(Transaksi!$A$2:$A$501,Transaksi!$A471,Transaksi!$C$2:$C$501,Transaksi!$C471,Transaksi!$D$2:$D$501,Transaksi!$D471)&gt;1,"Kemungkinan duplikat. ","")))</f>
        <v/>
      </c>
    </row>
    <row r="483" ht="18" customHeight="1">
      <c r="B483" s="21">
        <f>IF(Transaksi!$A472="","",472)</f>
        <v/>
      </c>
      <c r="C483" s="20">
        <f>IF(Transaksi!$A472="","",Transaksi!$A472)</f>
        <v/>
      </c>
      <c r="D483" s="22">
        <f>IF(Transaksi!$A472="","",Transaksi!$C472)</f>
        <v/>
      </c>
      <c r="E483" s="21">
        <f>IF(Transaksi!$A472="","",Transaksi!$D472)</f>
        <v/>
      </c>
      <c r="F483" s="21">
        <f>IF(Transaksi!$A472="","",TRIM(IF(Transaksi!$C472="","Nominal kosong. ","")&amp;IF(N(Transaksi!$C472)&lt;0,"Nominal negatif. ","")&amp;IF(Transaksi!$B472="","Jenis belum diisi. ","")&amp;IF(Transaksi!$E472="","Kategori belum diisi. ","")&amp;IF(Transaksi!$A472&gt;TODAY(),"Tanggal di masa depan. ","")&amp;IF(COUNTIFS(Transaksi!$A$2:$A$501,Transaksi!$A472,Transaksi!$C$2:$C$501,Transaksi!$C472,Transaksi!$D$2:$D$501,Transaksi!$D472)&gt;1,"Kemungkinan duplikat. ","")))</f>
        <v/>
      </c>
    </row>
    <row r="484" ht="18" customHeight="1">
      <c r="B484" s="21">
        <f>IF(Transaksi!$A473="","",473)</f>
        <v/>
      </c>
      <c r="C484" s="20">
        <f>IF(Transaksi!$A473="","",Transaksi!$A473)</f>
        <v/>
      </c>
      <c r="D484" s="22">
        <f>IF(Transaksi!$A473="","",Transaksi!$C473)</f>
        <v/>
      </c>
      <c r="E484" s="21">
        <f>IF(Transaksi!$A473="","",Transaksi!$D473)</f>
        <v/>
      </c>
      <c r="F484" s="21">
        <f>IF(Transaksi!$A473="","",TRIM(IF(Transaksi!$C473="","Nominal kosong. ","")&amp;IF(N(Transaksi!$C473)&lt;0,"Nominal negatif. ","")&amp;IF(Transaksi!$B473="","Jenis belum diisi. ","")&amp;IF(Transaksi!$E473="","Kategori belum diisi. ","")&amp;IF(Transaksi!$A473&gt;TODAY(),"Tanggal di masa depan. ","")&amp;IF(COUNTIFS(Transaksi!$A$2:$A$501,Transaksi!$A473,Transaksi!$C$2:$C$501,Transaksi!$C473,Transaksi!$D$2:$D$501,Transaksi!$D473)&gt;1,"Kemungkinan duplikat. ","")))</f>
        <v/>
      </c>
    </row>
    <row r="485" ht="18" customHeight="1">
      <c r="B485" s="21">
        <f>IF(Transaksi!$A474="","",474)</f>
        <v/>
      </c>
      <c r="C485" s="20">
        <f>IF(Transaksi!$A474="","",Transaksi!$A474)</f>
        <v/>
      </c>
      <c r="D485" s="22">
        <f>IF(Transaksi!$A474="","",Transaksi!$C474)</f>
        <v/>
      </c>
      <c r="E485" s="21">
        <f>IF(Transaksi!$A474="","",Transaksi!$D474)</f>
        <v/>
      </c>
      <c r="F485" s="21">
        <f>IF(Transaksi!$A474="","",TRIM(IF(Transaksi!$C474="","Nominal kosong. ","")&amp;IF(N(Transaksi!$C474)&lt;0,"Nominal negatif. ","")&amp;IF(Transaksi!$B474="","Jenis belum diisi. ","")&amp;IF(Transaksi!$E474="","Kategori belum diisi. ","")&amp;IF(Transaksi!$A474&gt;TODAY(),"Tanggal di masa depan. ","")&amp;IF(COUNTIFS(Transaksi!$A$2:$A$501,Transaksi!$A474,Transaksi!$C$2:$C$501,Transaksi!$C474,Transaksi!$D$2:$D$501,Transaksi!$D474)&gt;1,"Kemungkinan duplikat. ","")))</f>
        <v/>
      </c>
    </row>
    <row r="486" ht="18" customHeight="1">
      <c r="B486" s="21">
        <f>IF(Transaksi!$A475="","",475)</f>
        <v/>
      </c>
      <c r="C486" s="20">
        <f>IF(Transaksi!$A475="","",Transaksi!$A475)</f>
        <v/>
      </c>
      <c r="D486" s="22">
        <f>IF(Transaksi!$A475="","",Transaksi!$C475)</f>
        <v/>
      </c>
      <c r="E486" s="21">
        <f>IF(Transaksi!$A475="","",Transaksi!$D475)</f>
        <v/>
      </c>
      <c r="F486" s="21">
        <f>IF(Transaksi!$A475="","",TRIM(IF(Transaksi!$C475="","Nominal kosong. ","")&amp;IF(N(Transaksi!$C475)&lt;0,"Nominal negatif. ","")&amp;IF(Transaksi!$B475="","Jenis belum diisi. ","")&amp;IF(Transaksi!$E475="","Kategori belum diisi. ","")&amp;IF(Transaksi!$A475&gt;TODAY(),"Tanggal di masa depan. ","")&amp;IF(COUNTIFS(Transaksi!$A$2:$A$501,Transaksi!$A475,Transaksi!$C$2:$C$501,Transaksi!$C475,Transaksi!$D$2:$D$501,Transaksi!$D475)&gt;1,"Kemungkinan duplikat. ","")))</f>
        <v/>
      </c>
    </row>
    <row r="487" ht="18" customHeight="1">
      <c r="B487" s="21">
        <f>IF(Transaksi!$A476="","",476)</f>
        <v/>
      </c>
      <c r="C487" s="20">
        <f>IF(Transaksi!$A476="","",Transaksi!$A476)</f>
        <v/>
      </c>
      <c r="D487" s="22">
        <f>IF(Transaksi!$A476="","",Transaksi!$C476)</f>
        <v/>
      </c>
      <c r="E487" s="21">
        <f>IF(Transaksi!$A476="","",Transaksi!$D476)</f>
        <v/>
      </c>
      <c r="F487" s="21">
        <f>IF(Transaksi!$A476="","",TRIM(IF(Transaksi!$C476="","Nominal kosong. ","")&amp;IF(N(Transaksi!$C476)&lt;0,"Nominal negatif. ","")&amp;IF(Transaksi!$B476="","Jenis belum diisi. ","")&amp;IF(Transaksi!$E476="","Kategori belum diisi. ","")&amp;IF(Transaksi!$A476&gt;TODAY(),"Tanggal di masa depan. ","")&amp;IF(COUNTIFS(Transaksi!$A$2:$A$501,Transaksi!$A476,Transaksi!$C$2:$C$501,Transaksi!$C476,Transaksi!$D$2:$D$501,Transaksi!$D476)&gt;1,"Kemungkinan duplikat. ","")))</f>
        <v/>
      </c>
    </row>
    <row r="488" ht="18" customHeight="1">
      <c r="B488" s="21">
        <f>IF(Transaksi!$A477="","",477)</f>
        <v/>
      </c>
      <c r="C488" s="20">
        <f>IF(Transaksi!$A477="","",Transaksi!$A477)</f>
        <v/>
      </c>
      <c r="D488" s="22">
        <f>IF(Transaksi!$A477="","",Transaksi!$C477)</f>
        <v/>
      </c>
      <c r="E488" s="21">
        <f>IF(Transaksi!$A477="","",Transaksi!$D477)</f>
        <v/>
      </c>
      <c r="F488" s="21">
        <f>IF(Transaksi!$A477="","",TRIM(IF(Transaksi!$C477="","Nominal kosong. ","")&amp;IF(N(Transaksi!$C477)&lt;0,"Nominal negatif. ","")&amp;IF(Transaksi!$B477="","Jenis belum diisi. ","")&amp;IF(Transaksi!$E477="","Kategori belum diisi. ","")&amp;IF(Transaksi!$A477&gt;TODAY(),"Tanggal di masa depan. ","")&amp;IF(COUNTIFS(Transaksi!$A$2:$A$501,Transaksi!$A477,Transaksi!$C$2:$C$501,Transaksi!$C477,Transaksi!$D$2:$D$501,Transaksi!$D477)&gt;1,"Kemungkinan duplikat. ","")))</f>
        <v/>
      </c>
    </row>
    <row r="489" ht="18" customHeight="1">
      <c r="B489" s="21">
        <f>IF(Transaksi!$A478="","",478)</f>
        <v/>
      </c>
      <c r="C489" s="20">
        <f>IF(Transaksi!$A478="","",Transaksi!$A478)</f>
        <v/>
      </c>
      <c r="D489" s="22">
        <f>IF(Transaksi!$A478="","",Transaksi!$C478)</f>
        <v/>
      </c>
      <c r="E489" s="21">
        <f>IF(Transaksi!$A478="","",Transaksi!$D478)</f>
        <v/>
      </c>
      <c r="F489" s="21">
        <f>IF(Transaksi!$A478="","",TRIM(IF(Transaksi!$C478="","Nominal kosong. ","")&amp;IF(N(Transaksi!$C478)&lt;0,"Nominal negatif. ","")&amp;IF(Transaksi!$B478="","Jenis belum diisi. ","")&amp;IF(Transaksi!$E478="","Kategori belum diisi. ","")&amp;IF(Transaksi!$A478&gt;TODAY(),"Tanggal di masa depan. ","")&amp;IF(COUNTIFS(Transaksi!$A$2:$A$501,Transaksi!$A478,Transaksi!$C$2:$C$501,Transaksi!$C478,Transaksi!$D$2:$D$501,Transaksi!$D478)&gt;1,"Kemungkinan duplikat. ","")))</f>
        <v/>
      </c>
    </row>
    <row r="490" ht="18" customHeight="1">
      <c r="B490" s="21">
        <f>IF(Transaksi!$A479="","",479)</f>
        <v/>
      </c>
      <c r="C490" s="20">
        <f>IF(Transaksi!$A479="","",Transaksi!$A479)</f>
        <v/>
      </c>
      <c r="D490" s="22">
        <f>IF(Transaksi!$A479="","",Transaksi!$C479)</f>
        <v/>
      </c>
      <c r="E490" s="21">
        <f>IF(Transaksi!$A479="","",Transaksi!$D479)</f>
        <v/>
      </c>
      <c r="F490" s="21">
        <f>IF(Transaksi!$A479="","",TRIM(IF(Transaksi!$C479="","Nominal kosong. ","")&amp;IF(N(Transaksi!$C479)&lt;0,"Nominal negatif. ","")&amp;IF(Transaksi!$B479="","Jenis belum diisi. ","")&amp;IF(Transaksi!$E479="","Kategori belum diisi. ","")&amp;IF(Transaksi!$A479&gt;TODAY(),"Tanggal di masa depan. ","")&amp;IF(COUNTIFS(Transaksi!$A$2:$A$501,Transaksi!$A479,Transaksi!$C$2:$C$501,Transaksi!$C479,Transaksi!$D$2:$D$501,Transaksi!$D479)&gt;1,"Kemungkinan duplikat. ","")))</f>
        <v/>
      </c>
    </row>
    <row r="491" ht="18" customHeight="1">
      <c r="B491" s="21">
        <f>IF(Transaksi!$A480="","",480)</f>
        <v/>
      </c>
      <c r="C491" s="20">
        <f>IF(Transaksi!$A480="","",Transaksi!$A480)</f>
        <v/>
      </c>
      <c r="D491" s="22">
        <f>IF(Transaksi!$A480="","",Transaksi!$C480)</f>
        <v/>
      </c>
      <c r="E491" s="21">
        <f>IF(Transaksi!$A480="","",Transaksi!$D480)</f>
        <v/>
      </c>
      <c r="F491" s="21">
        <f>IF(Transaksi!$A480="","",TRIM(IF(Transaksi!$C480="","Nominal kosong. ","")&amp;IF(N(Transaksi!$C480)&lt;0,"Nominal negatif. ","")&amp;IF(Transaksi!$B480="","Jenis belum diisi. ","")&amp;IF(Transaksi!$E480="","Kategori belum diisi. ","")&amp;IF(Transaksi!$A480&gt;TODAY(),"Tanggal di masa depan. ","")&amp;IF(COUNTIFS(Transaksi!$A$2:$A$501,Transaksi!$A480,Transaksi!$C$2:$C$501,Transaksi!$C480,Transaksi!$D$2:$D$501,Transaksi!$D480)&gt;1,"Kemungkinan duplikat. ","")))</f>
        <v/>
      </c>
    </row>
    <row r="492" ht="18" customHeight="1">
      <c r="B492" s="21">
        <f>IF(Transaksi!$A481="","",481)</f>
        <v/>
      </c>
      <c r="C492" s="20">
        <f>IF(Transaksi!$A481="","",Transaksi!$A481)</f>
        <v/>
      </c>
      <c r="D492" s="22">
        <f>IF(Transaksi!$A481="","",Transaksi!$C481)</f>
        <v/>
      </c>
      <c r="E492" s="21">
        <f>IF(Transaksi!$A481="","",Transaksi!$D481)</f>
        <v/>
      </c>
      <c r="F492" s="21">
        <f>IF(Transaksi!$A481="","",TRIM(IF(Transaksi!$C481="","Nominal kosong. ","")&amp;IF(N(Transaksi!$C481)&lt;0,"Nominal negatif. ","")&amp;IF(Transaksi!$B481="","Jenis belum diisi. ","")&amp;IF(Transaksi!$E481="","Kategori belum diisi. ","")&amp;IF(Transaksi!$A481&gt;TODAY(),"Tanggal di masa depan. ","")&amp;IF(COUNTIFS(Transaksi!$A$2:$A$501,Transaksi!$A481,Transaksi!$C$2:$C$501,Transaksi!$C481,Transaksi!$D$2:$D$501,Transaksi!$D481)&gt;1,"Kemungkinan duplikat. ","")))</f>
        <v/>
      </c>
    </row>
    <row r="493" ht="18" customHeight="1">
      <c r="B493" s="21">
        <f>IF(Transaksi!$A482="","",482)</f>
        <v/>
      </c>
      <c r="C493" s="20">
        <f>IF(Transaksi!$A482="","",Transaksi!$A482)</f>
        <v/>
      </c>
      <c r="D493" s="22">
        <f>IF(Transaksi!$A482="","",Transaksi!$C482)</f>
        <v/>
      </c>
      <c r="E493" s="21">
        <f>IF(Transaksi!$A482="","",Transaksi!$D482)</f>
        <v/>
      </c>
      <c r="F493" s="21">
        <f>IF(Transaksi!$A482="","",TRIM(IF(Transaksi!$C482="","Nominal kosong. ","")&amp;IF(N(Transaksi!$C482)&lt;0,"Nominal negatif. ","")&amp;IF(Transaksi!$B482="","Jenis belum diisi. ","")&amp;IF(Transaksi!$E482="","Kategori belum diisi. ","")&amp;IF(Transaksi!$A482&gt;TODAY(),"Tanggal di masa depan. ","")&amp;IF(COUNTIFS(Transaksi!$A$2:$A$501,Transaksi!$A482,Transaksi!$C$2:$C$501,Transaksi!$C482,Transaksi!$D$2:$D$501,Transaksi!$D482)&gt;1,"Kemungkinan duplikat. ","")))</f>
        <v/>
      </c>
    </row>
    <row r="494" ht="18" customHeight="1">
      <c r="B494" s="21">
        <f>IF(Transaksi!$A483="","",483)</f>
        <v/>
      </c>
      <c r="C494" s="20">
        <f>IF(Transaksi!$A483="","",Transaksi!$A483)</f>
        <v/>
      </c>
      <c r="D494" s="22">
        <f>IF(Transaksi!$A483="","",Transaksi!$C483)</f>
        <v/>
      </c>
      <c r="E494" s="21">
        <f>IF(Transaksi!$A483="","",Transaksi!$D483)</f>
        <v/>
      </c>
      <c r="F494" s="21">
        <f>IF(Transaksi!$A483="","",TRIM(IF(Transaksi!$C483="","Nominal kosong. ","")&amp;IF(N(Transaksi!$C483)&lt;0,"Nominal negatif. ","")&amp;IF(Transaksi!$B483="","Jenis belum diisi. ","")&amp;IF(Transaksi!$E483="","Kategori belum diisi. ","")&amp;IF(Transaksi!$A483&gt;TODAY(),"Tanggal di masa depan. ","")&amp;IF(COUNTIFS(Transaksi!$A$2:$A$501,Transaksi!$A483,Transaksi!$C$2:$C$501,Transaksi!$C483,Transaksi!$D$2:$D$501,Transaksi!$D483)&gt;1,"Kemungkinan duplikat. ","")))</f>
        <v/>
      </c>
    </row>
    <row r="495" ht="18" customHeight="1">
      <c r="B495" s="21">
        <f>IF(Transaksi!$A484="","",484)</f>
        <v/>
      </c>
      <c r="C495" s="20">
        <f>IF(Transaksi!$A484="","",Transaksi!$A484)</f>
        <v/>
      </c>
      <c r="D495" s="22">
        <f>IF(Transaksi!$A484="","",Transaksi!$C484)</f>
        <v/>
      </c>
      <c r="E495" s="21">
        <f>IF(Transaksi!$A484="","",Transaksi!$D484)</f>
        <v/>
      </c>
      <c r="F495" s="21">
        <f>IF(Transaksi!$A484="","",TRIM(IF(Transaksi!$C484="","Nominal kosong. ","")&amp;IF(N(Transaksi!$C484)&lt;0,"Nominal negatif. ","")&amp;IF(Transaksi!$B484="","Jenis belum diisi. ","")&amp;IF(Transaksi!$E484="","Kategori belum diisi. ","")&amp;IF(Transaksi!$A484&gt;TODAY(),"Tanggal di masa depan. ","")&amp;IF(COUNTIFS(Transaksi!$A$2:$A$501,Transaksi!$A484,Transaksi!$C$2:$C$501,Transaksi!$C484,Transaksi!$D$2:$D$501,Transaksi!$D484)&gt;1,"Kemungkinan duplikat. ","")))</f>
        <v/>
      </c>
    </row>
    <row r="496" ht="18" customHeight="1">
      <c r="B496" s="21">
        <f>IF(Transaksi!$A485="","",485)</f>
        <v/>
      </c>
      <c r="C496" s="20">
        <f>IF(Transaksi!$A485="","",Transaksi!$A485)</f>
        <v/>
      </c>
      <c r="D496" s="22">
        <f>IF(Transaksi!$A485="","",Transaksi!$C485)</f>
        <v/>
      </c>
      <c r="E496" s="21">
        <f>IF(Transaksi!$A485="","",Transaksi!$D485)</f>
        <v/>
      </c>
      <c r="F496" s="21">
        <f>IF(Transaksi!$A485="","",TRIM(IF(Transaksi!$C485="","Nominal kosong. ","")&amp;IF(N(Transaksi!$C485)&lt;0,"Nominal negatif. ","")&amp;IF(Transaksi!$B485="","Jenis belum diisi. ","")&amp;IF(Transaksi!$E485="","Kategori belum diisi. ","")&amp;IF(Transaksi!$A485&gt;TODAY(),"Tanggal di masa depan. ","")&amp;IF(COUNTIFS(Transaksi!$A$2:$A$501,Transaksi!$A485,Transaksi!$C$2:$C$501,Transaksi!$C485,Transaksi!$D$2:$D$501,Transaksi!$D485)&gt;1,"Kemungkinan duplikat. ","")))</f>
        <v/>
      </c>
    </row>
    <row r="497" ht="18" customHeight="1">
      <c r="B497" s="21">
        <f>IF(Transaksi!$A486="","",486)</f>
        <v/>
      </c>
      <c r="C497" s="20">
        <f>IF(Transaksi!$A486="","",Transaksi!$A486)</f>
        <v/>
      </c>
      <c r="D497" s="22">
        <f>IF(Transaksi!$A486="","",Transaksi!$C486)</f>
        <v/>
      </c>
      <c r="E497" s="21">
        <f>IF(Transaksi!$A486="","",Transaksi!$D486)</f>
        <v/>
      </c>
      <c r="F497" s="21">
        <f>IF(Transaksi!$A486="","",TRIM(IF(Transaksi!$C486="","Nominal kosong. ","")&amp;IF(N(Transaksi!$C486)&lt;0,"Nominal negatif. ","")&amp;IF(Transaksi!$B486="","Jenis belum diisi. ","")&amp;IF(Transaksi!$E486="","Kategori belum diisi. ","")&amp;IF(Transaksi!$A486&gt;TODAY(),"Tanggal di masa depan. ","")&amp;IF(COUNTIFS(Transaksi!$A$2:$A$501,Transaksi!$A486,Transaksi!$C$2:$C$501,Transaksi!$C486,Transaksi!$D$2:$D$501,Transaksi!$D486)&gt;1,"Kemungkinan duplikat. ","")))</f>
        <v/>
      </c>
    </row>
    <row r="498" ht="18" customHeight="1">
      <c r="B498" s="21">
        <f>IF(Transaksi!$A487="","",487)</f>
        <v/>
      </c>
      <c r="C498" s="20">
        <f>IF(Transaksi!$A487="","",Transaksi!$A487)</f>
        <v/>
      </c>
      <c r="D498" s="22">
        <f>IF(Transaksi!$A487="","",Transaksi!$C487)</f>
        <v/>
      </c>
      <c r="E498" s="21">
        <f>IF(Transaksi!$A487="","",Transaksi!$D487)</f>
        <v/>
      </c>
      <c r="F498" s="21">
        <f>IF(Transaksi!$A487="","",TRIM(IF(Transaksi!$C487="","Nominal kosong. ","")&amp;IF(N(Transaksi!$C487)&lt;0,"Nominal negatif. ","")&amp;IF(Transaksi!$B487="","Jenis belum diisi. ","")&amp;IF(Transaksi!$E487="","Kategori belum diisi. ","")&amp;IF(Transaksi!$A487&gt;TODAY(),"Tanggal di masa depan. ","")&amp;IF(COUNTIFS(Transaksi!$A$2:$A$501,Transaksi!$A487,Transaksi!$C$2:$C$501,Transaksi!$C487,Transaksi!$D$2:$D$501,Transaksi!$D487)&gt;1,"Kemungkinan duplikat. ","")))</f>
        <v/>
      </c>
    </row>
    <row r="499" ht="18" customHeight="1">
      <c r="B499" s="21">
        <f>IF(Transaksi!$A488="","",488)</f>
        <v/>
      </c>
      <c r="C499" s="20">
        <f>IF(Transaksi!$A488="","",Transaksi!$A488)</f>
        <v/>
      </c>
      <c r="D499" s="22">
        <f>IF(Transaksi!$A488="","",Transaksi!$C488)</f>
        <v/>
      </c>
      <c r="E499" s="21">
        <f>IF(Transaksi!$A488="","",Transaksi!$D488)</f>
        <v/>
      </c>
      <c r="F499" s="21">
        <f>IF(Transaksi!$A488="","",TRIM(IF(Transaksi!$C488="","Nominal kosong. ","")&amp;IF(N(Transaksi!$C488)&lt;0,"Nominal negatif. ","")&amp;IF(Transaksi!$B488="","Jenis belum diisi. ","")&amp;IF(Transaksi!$E488="","Kategori belum diisi. ","")&amp;IF(Transaksi!$A488&gt;TODAY(),"Tanggal di masa depan. ","")&amp;IF(COUNTIFS(Transaksi!$A$2:$A$501,Transaksi!$A488,Transaksi!$C$2:$C$501,Transaksi!$C488,Transaksi!$D$2:$D$501,Transaksi!$D488)&gt;1,"Kemungkinan duplikat. ","")))</f>
        <v/>
      </c>
    </row>
    <row r="500" ht="18" customHeight="1">
      <c r="B500" s="21">
        <f>IF(Transaksi!$A489="","",489)</f>
        <v/>
      </c>
      <c r="C500" s="20">
        <f>IF(Transaksi!$A489="","",Transaksi!$A489)</f>
        <v/>
      </c>
      <c r="D500" s="22">
        <f>IF(Transaksi!$A489="","",Transaksi!$C489)</f>
        <v/>
      </c>
      <c r="E500" s="21">
        <f>IF(Transaksi!$A489="","",Transaksi!$D489)</f>
        <v/>
      </c>
      <c r="F500" s="21">
        <f>IF(Transaksi!$A489="","",TRIM(IF(Transaksi!$C489="","Nominal kosong. ","")&amp;IF(N(Transaksi!$C489)&lt;0,"Nominal negatif. ","")&amp;IF(Transaksi!$B489="","Jenis belum diisi. ","")&amp;IF(Transaksi!$E489="","Kategori belum diisi. ","")&amp;IF(Transaksi!$A489&gt;TODAY(),"Tanggal di masa depan. ","")&amp;IF(COUNTIFS(Transaksi!$A$2:$A$501,Transaksi!$A489,Transaksi!$C$2:$C$501,Transaksi!$C489,Transaksi!$D$2:$D$501,Transaksi!$D489)&gt;1,"Kemungkinan duplikat. ","")))</f>
        <v/>
      </c>
    </row>
    <row r="501" ht="18" customHeight="1">
      <c r="B501" s="21">
        <f>IF(Transaksi!$A490="","",490)</f>
        <v/>
      </c>
      <c r="C501" s="20">
        <f>IF(Transaksi!$A490="","",Transaksi!$A490)</f>
        <v/>
      </c>
      <c r="D501" s="22">
        <f>IF(Transaksi!$A490="","",Transaksi!$C490)</f>
        <v/>
      </c>
      <c r="E501" s="21">
        <f>IF(Transaksi!$A490="","",Transaksi!$D490)</f>
        <v/>
      </c>
      <c r="F501" s="21">
        <f>IF(Transaksi!$A490="","",TRIM(IF(Transaksi!$C490="","Nominal kosong. ","")&amp;IF(N(Transaksi!$C490)&lt;0,"Nominal negatif. ","")&amp;IF(Transaksi!$B490="","Jenis belum diisi. ","")&amp;IF(Transaksi!$E490="","Kategori belum diisi. ","")&amp;IF(Transaksi!$A490&gt;TODAY(),"Tanggal di masa depan. ","")&amp;IF(COUNTIFS(Transaksi!$A$2:$A$501,Transaksi!$A490,Transaksi!$C$2:$C$501,Transaksi!$C490,Transaksi!$D$2:$D$501,Transaksi!$D490)&gt;1,"Kemungkinan duplikat. ","")))</f>
        <v/>
      </c>
    </row>
    <row r="502" ht="18" customHeight="1">
      <c r="B502" s="21">
        <f>IF(Transaksi!$A491="","",491)</f>
        <v/>
      </c>
      <c r="C502" s="20">
        <f>IF(Transaksi!$A491="","",Transaksi!$A491)</f>
        <v/>
      </c>
      <c r="D502" s="22">
        <f>IF(Transaksi!$A491="","",Transaksi!$C491)</f>
        <v/>
      </c>
      <c r="E502" s="21">
        <f>IF(Transaksi!$A491="","",Transaksi!$D491)</f>
        <v/>
      </c>
      <c r="F502" s="21">
        <f>IF(Transaksi!$A491="","",TRIM(IF(Transaksi!$C491="","Nominal kosong. ","")&amp;IF(N(Transaksi!$C491)&lt;0,"Nominal negatif. ","")&amp;IF(Transaksi!$B491="","Jenis belum diisi. ","")&amp;IF(Transaksi!$E491="","Kategori belum diisi. ","")&amp;IF(Transaksi!$A491&gt;TODAY(),"Tanggal di masa depan. ","")&amp;IF(COUNTIFS(Transaksi!$A$2:$A$501,Transaksi!$A491,Transaksi!$C$2:$C$501,Transaksi!$C491,Transaksi!$D$2:$D$501,Transaksi!$D491)&gt;1,"Kemungkinan duplikat. ","")))</f>
        <v/>
      </c>
    </row>
    <row r="503" ht="18" customHeight="1">
      <c r="B503" s="21">
        <f>IF(Transaksi!$A492="","",492)</f>
        <v/>
      </c>
      <c r="C503" s="20">
        <f>IF(Transaksi!$A492="","",Transaksi!$A492)</f>
        <v/>
      </c>
      <c r="D503" s="22">
        <f>IF(Transaksi!$A492="","",Transaksi!$C492)</f>
        <v/>
      </c>
      <c r="E503" s="21">
        <f>IF(Transaksi!$A492="","",Transaksi!$D492)</f>
        <v/>
      </c>
      <c r="F503" s="21">
        <f>IF(Transaksi!$A492="","",TRIM(IF(Transaksi!$C492="","Nominal kosong. ","")&amp;IF(N(Transaksi!$C492)&lt;0,"Nominal negatif. ","")&amp;IF(Transaksi!$B492="","Jenis belum diisi. ","")&amp;IF(Transaksi!$E492="","Kategori belum diisi. ","")&amp;IF(Transaksi!$A492&gt;TODAY(),"Tanggal di masa depan. ","")&amp;IF(COUNTIFS(Transaksi!$A$2:$A$501,Transaksi!$A492,Transaksi!$C$2:$C$501,Transaksi!$C492,Transaksi!$D$2:$D$501,Transaksi!$D492)&gt;1,"Kemungkinan duplikat. ","")))</f>
        <v/>
      </c>
    </row>
    <row r="504" ht="18" customHeight="1">
      <c r="B504" s="21">
        <f>IF(Transaksi!$A493="","",493)</f>
        <v/>
      </c>
      <c r="C504" s="20">
        <f>IF(Transaksi!$A493="","",Transaksi!$A493)</f>
        <v/>
      </c>
      <c r="D504" s="22">
        <f>IF(Transaksi!$A493="","",Transaksi!$C493)</f>
        <v/>
      </c>
      <c r="E504" s="21">
        <f>IF(Transaksi!$A493="","",Transaksi!$D493)</f>
        <v/>
      </c>
      <c r="F504" s="21">
        <f>IF(Transaksi!$A493="","",TRIM(IF(Transaksi!$C493="","Nominal kosong. ","")&amp;IF(N(Transaksi!$C493)&lt;0,"Nominal negatif. ","")&amp;IF(Transaksi!$B493="","Jenis belum diisi. ","")&amp;IF(Transaksi!$E493="","Kategori belum diisi. ","")&amp;IF(Transaksi!$A493&gt;TODAY(),"Tanggal di masa depan. ","")&amp;IF(COUNTIFS(Transaksi!$A$2:$A$501,Transaksi!$A493,Transaksi!$C$2:$C$501,Transaksi!$C493,Transaksi!$D$2:$D$501,Transaksi!$D493)&gt;1,"Kemungkinan duplikat. ","")))</f>
        <v/>
      </c>
    </row>
    <row r="505" ht="18" customHeight="1">
      <c r="B505" s="21">
        <f>IF(Transaksi!$A494="","",494)</f>
        <v/>
      </c>
      <c r="C505" s="20">
        <f>IF(Transaksi!$A494="","",Transaksi!$A494)</f>
        <v/>
      </c>
      <c r="D505" s="22">
        <f>IF(Transaksi!$A494="","",Transaksi!$C494)</f>
        <v/>
      </c>
      <c r="E505" s="21">
        <f>IF(Transaksi!$A494="","",Transaksi!$D494)</f>
        <v/>
      </c>
      <c r="F505" s="21">
        <f>IF(Transaksi!$A494="","",TRIM(IF(Transaksi!$C494="","Nominal kosong. ","")&amp;IF(N(Transaksi!$C494)&lt;0,"Nominal negatif. ","")&amp;IF(Transaksi!$B494="","Jenis belum diisi. ","")&amp;IF(Transaksi!$E494="","Kategori belum diisi. ","")&amp;IF(Transaksi!$A494&gt;TODAY(),"Tanggal di masa depan. ","")&amp;IF(COUNTIFS(Transaksi!$A$2:$A$501,Transaksi!$A494,Transaksi!$C$2:$C$501,Transaksi!$C494,Transaksi!$D$2:$D$501,Transaksi!$D494)&gt;1,"Kemungkinan duplikat. ","")))</f>
        <v/>
      </c>
    </row>
    <row r="506" ht="18" customHeight="1">
      <c r="B506" s="21">
        <f>IF(Transaksi!$A495="","",495)</f>
        <v/>
      </c>
      <c r="C506" s="20">
        <f>IF(Transaksi!$A495="","",Transaksi!$A495)</f>
        <v/>
      </c>
      <c r="D506" s="22">
        <f>IF(Transaksi!$A495="","",Transaksi!$C495)</f>
        <v/>
      </c>
      <c r="E506" s="21">
        <f>IF(Transaksi!$A495="","",Transaksi!$D495)</f>
        <v/>
      </c>
      <c r="F506" s="21">
        <f>IF(Transaksi!$A495="","",TRIM(IF(Transaksi!$C495="","Nominal kosong. ","")&amp;IF(N(Transaksi!$C495)&lt;0,"Nominal negatif. ","")&amp;IF(Transaksi!$B495="","Jenis belum diisi. ","")&amp;IF(Transaksi!$E495="","Kategori belum diisi. ","")&amp;IF(Transaksi!$A495&gt;TODAY(),"Tanggal di masa depan. ","")&amp;IF(COUNTIFS(Transaksi!$A$2:$A$501,Transaksi!$A495,Transaksi!$C$2:$C$501,Transaksi!$C495,Transaksi!$D$2:$D$501,Transaksi!$D495)&gt;1,"Kemungkinan duplikat. ","")))</f>
        <v/>
      </c>
    </row>
    <row r="507" ht="18" customHeight="1">
      <c r="B507" s="21">
        <f>IF(Transaksi!$A496="","",496)</f>
        <v/>
      </c>
      <c r="C507" s="20">
        <f>IF(Transaksi!$A496="","",Transaksi!$A496)</f>
        <v/>
      </c>
      <c r="D507" s="22">
        <f>IF(Transaksi!$A496="","",Transaksi!$C496)</f>
        <v/>
      </c>
      <c r="E507" s="21">
        <f>IF(Transaksi!$A496="","",Transaksi!$D496)</f>
        <v/>
      </c>
      <c r="F507" s="21">
        <f>IF(Transaksi!$A496="","",TRIM(IF(Transaksi!$C496="","Nominal kosong. ","")&amp;IF(N(Transaksi!$C496)&lt;0,"Nominal negatif. ","")&amp;IF(Transaksi!$B496="","Jenis belum diisi. ","")&amp;IF(Transaksi!$E496="","Kategori belum diisi. ","")&amp;IF(Transaksi!$A496&gt;TODAY(),"Tanggal di masa depan. ","")&amp;IF(COUNTIFS(Transaksi!$A$2:$A$501,Transaksi!$A496,Transaksi!$C$2:$C$501,Transaksi!$C496,Transaksi!$D$2:$D$501,Transaksi!$D496)&gt;1,"Kemungkinan duplikat. ","")))</f>
        <v/>
      </c>
    </row>
    <row r="508" ht="18" customHeight="1">
      <c r="B508" s="21">
        <f>IF(Transaksi!$A497="","",497)</f>
        <v/>
      </c>
      <c r="C508" s="20">
        <f>IF(Transaksi!$A497="","",Transaksi!$A497)</f>
        <v/>
      </c>
      <c r="D508" s="22">
        <f>IF(Transaksi!$A497="","",Transaksi!$C497)</f>
        <v/>
      </c>
      <c r="E508" s="21">
        <f>IF(Transaksi!$A497="","",Transaksi!$D497)</f>
        <v/>
      </c>
      <c r="F508" s="21">
        <f>IF(Transaksi!$A497="","",TRIM(IF(Transaksi!$C497="","Nominal kosong. ","")&amp;IF(N(Transaksi!$C497)&lt;0,"Nominal negatif. ","")&amp;IF(Transaksi!$B497="","Jenis belum diisi. ","")&amp;IF(Transaksi!$E497="","Kategori belum diisi. ","")&amp;IF(Transaksi!$A497&gt;TODAY(),"Tanggal di masa depan. ","")&amp;IF(COUNTIFS(Transaksi!$A$2:$A$501,Transaksi!$A497,Transaksi!$C$2:$C$501,Transaksi!$C497,Transaksi!$D$2:$D$501,Transaksi!$D497)&gt;1,"Kemungkinan duplikat. ","")))</f>
        <v/>
      </c>
    </row>
    <row r="509" ht="18" customHeight="1">
      <c r="B509" s="21">
        <f>IF(Transaksi!$A498="","",498)</f>
        <v/>
      </c>
      <c r="C509" s="20">
        <f>IF(Transaksi!$A498="","",Transaksi!$A498)</f>
        <v/>
      </c>
      <c r="D509" s="22">
        <f>IF(Transaksi!$A498="","",Transaksi!$C498)</f>
        <v/>
      </c>
      <c r="E509" s="21">
        <f>IF(Transaksi!$A498="","",Transaksi!$D498)</f>
        <v/>
      </c>
      <c r="F509" s="21">
        <f>IF(Transaksi!$A498="","",TRIM(IF(Transaksi!$C498="","Nominal kosong. ","")&amp;IF(N(Transaksi!$C498)&lt;0,"Nominal negatif. ","")&amp;IF(Transaksi!$B498="","Jenis belum diisi. ","")&amp;IF(Transaksi!$E498="","Kategori belum diisi. ","")&amp;IF(Transaksi!$A498&gt;TODAY(),"Tanggal di masa depan. ","")&amp;IF(COUNTIFS(Transaksi!$A$2:$A$501,Transaksi!$A498,Transaksi!$C$2:$C$501,Transaksi!$C498,Transaksi!$D$2:$D$501,Transaksi!$D498)&gt;1,"Kemungkinan duplikat. ","")))</f>
        <v/>
      </c>
    </row>
    <row r="510" ht="18" customHeight="1">
      <c r="B510" s="21">
        <f>IF(Transaksi!$A499="","",499)</f>
        <v/>
      </c>
      <c r="C510" s="20">
        <f>IF(Transaksi!$A499="","",Transaksi!$A499)</f>
        <v/>
      </c>
      <c r="D510" s="22">
        <f>IF(Transaksi!$A499="","",Transaksi!$C499)</f>
        <v/>
      </c>
      <c r="E510" s="21">
        <f>IF(Transaksi!$A499="","",Transaksi!$D499)</f>
        <v/>
      </c>
      <c r="F510" s="21">
        <f>IF(Transaksi!$A499="","",TRIM(IF(Transaksi!$C499="","Nominal kosong. ","")&amp;IF(N(Transaksi!$C499)&lt;0,"Nominal negatif. ","")&amp;IF(Transaksi!$B499="","Jenis belum diisi. ","")&amp;IF(Transaksi!$E499="","Kategori belum diisi. ","")&amp;IF(Transaksi!$A499&gt;TODAY(),"Tanggal di masa depan. ","")&amp;IF(COUNTIFS(Transaksi!$A$2:$A$501,Transaksi!$A499,Transaksi!$C$2:$C$501,Transaksi!$C499,Transaksi!$D$2:$D$501,Transaksi!$D499)&gt;1,"Kemungkinan duplikat. ","")))</f>
        <v/>
      </c>
    </row>
    <row r="511" ht="18" customHeight="1">
      <c r="B511" s="21">
        <f>IF(Transaksi!$A500="","",500)</f>
        <v/>
      </c>
      <c r="C511" s="20">
        <f>IF(Transaksi!$A500="","",Transaksi!$A500)</f>
        <v/>
      </c>
      <c r="D511" s="22">
        <f>IF(Transaksi!$A500="","",Transaksi!$C500)</f>
        <v/>
      </c>
      <c r="E511" s="21">
        <f>IF(Transaksi!$A500="","",Transaksi!$D500)</f>
        <v/>
      </c>
      <c r="F511" s="21">
        <f>IF(Transaksi!$A500="","",TRIM(IF(Transaksi!$C500="","Nominal kosong. ","")&amp;IF(N(Transaksi!$C500)&lt;0,"Nominal negatif. ","")&amp;IF(Transaksi!$B500="","Jenis belum diisi. ","")&amp;IF(Transaksi!$E500="","Kategori belum diisi. ","")&amp;IF(Transaksi!$A500&gt;TODAY(),"Tanggal di masa depan. ","")&amp;IF(COUNTIFS(Transaksi!$A$2:$A$501,Transaksi!$A500,Transaksi!$C$2:$C$501,Transaksi!$C500,Transaksi!$D$2:$D$501,Transaksi!$D500)&gt;1,"Kemungkinan duplikat. ","")))</f>
        <v/>
      </c>
    </row>
    <row r="512" ht="18" customHeight="1">
      <c r="B512" s="21">
        <f>IF(Transaksi!$A501="","",501)</f>
        <v/>
      </c>
      <c r="C512" s="20">
        <f>IF(Transaksi!$A501="","",Transaksi!$A501)</f>
        <v/>
      </c>
      <c r="D512" s="22">
        <f>IF(Transaksi!$A501="","",Transaksi!$C501)</f>
        <v/>
      </c>
      <c r="E512" s="21">
        <f>IF(Transaksi!$A501="","",Transaksi!$D501)</f>
        <v/>
      </c>
      <c r="F512" s="21">
        <f>IF(Transaksi!$A501="","",TRIM(IF(Transaksi!$C501="","Nominal kosong. ","")&amp;IF(N(Transaksi!$C501)&lt;0,"Nominal negatif. ","")&amp;IF(Transaksi!$B501="","Jenis belum diisi. ","")&amp;IF(Transaksi!$E501="","Kategori belum diisi. ","")&amp;IF(Transaksi!$A501&gt;TODAY(),"Tanggal di masa depan. ","")&amp;IF(COUNTIFS(Transaksi!$A$2:$A$501,Transaksi!$A501,Transaksi!$C$2:$C$501,Transaksi!$C501,Transaksi!$D$2:$D$501,Transaksi!$D501)&gt;1,"Kemungkinan duplikat. ","")))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B12:F512"/>
  <mergeCells count="4">
    <mergeCell ref="B2:F2"/>
    <mergeCell ref="B4:F4"/>
    <mergeCell ref="B6:C6"/>
    <mergeCell ref="B3:F3"/>
  </mergeCells>
  <conditionalFormatting sqref="B13:F512">
    <cfRule type="expression" priority="1" dxfId="0">
      <formula>AND($F13&lt;&gt;"",$B13&lt;&gt;"")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B2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0" customWidth="1" min="3" max="3"/>
    <col width="16" customWidth="1" min="4" max="4"/>
    <col width="34" customWidth="1" min="5" max="5"/>
    <col width="22" customWidth="1" min="6" max="6"/>
    <col width="16" customWidth="1" min="7" max="7"/>
  </cols>
  <sheetData>
    <row r="1" ht="8" customHeight="1"/>
    <row r="2">
      <c r="B2" s="1" t="inlineStr">
        <is>
          <t>KASUMKM · CONTOH</t>
        </is>
      </c>
    </row>
    <row r="3" ht="30" customHeight="1">
      <c r="B3" s="2" t="inlineStr">
        <is>
          <t>Contoh Pengisian</t>
        </is>
      </c>
    </row>
    <row r="4">
      <c r="B4" s="3" t="inlineStr">
        <is>
          <t>Hanya contoh. Sheet ini boleh dihapus.</t>
        </is>
      </c>
    </row>
    <row r="5" ht="6" customHeight="1"/>
    <row r="6" ht="26" customHeight="1">
      <c r="B6" s="104" t="inlineStr">
        <is>
          <t>Tanggal</t>
        </is>
      </c>
      <c r="C6" s="104" t="inlineStr">
        <is>
          <t>Jenis</t>
        </is>
      </c>
      <c r="D6" s="104" t="inlineStr">
        <is>
          <t>Nominal (Rp)</t>
        </is>
      </c>
      <c r="E6" s="104" t="inlineStr">
        <is>
          <t>Keterangan</t>
        </is>
      </c>
      <c r="F6" s="104" t="inlineStr">
        <is>
          <t>Kategori (oleh admin)</t>
        </is>
      </c>
      <c r="G6" s="104" t="inlineStr">
        <is>
          <t>Status</t>
        </is>
      </c>
    </row>
    <row r="7" ht="18" customHeight="1">
      <c r="B7" s="92" t="n">
        <v>46174</v>
      </c>
      <c r="C7" s="105" t="inlineStr">
        <is>
          <t>Masuk</t>
        </is>
      </c>
      <c r="D7" s="65" t="n">
        <v>450000</v>
      </c>
      <c r="E7" s="105" t="inlineStr">
        <is>
          <t>penjualan hari ini</t>
        </is>
      </c>
      <c r="F7" s="105" t="inlineStr">
        <is>
          <t>Penjualan Tunai</t>
        </is>
      </c>
      <c r="G7" s="106" t="inlineStr">
        <is>
          <t>Disetujui</t>
        </is>
      </c>
    </row>
    <row r="8" ht="18" customHeight="1">
      <c r="B8" s="88" t="n">
        <v>46174</v>
      </c>
      <c r="C8" s="107" t="inlineStr">
        <is>
          <t>Keluar</t>
        </is>
      </c>
      <c r="D8" s="67" t="n">
        <v>150000</v>
      </c>
      <c r="E8" s="107" t="inlineStr">
        <is>
          <t>beli gula 5 kg</t>
        </is>
      </c>
      <c r="F8" s="107" t="inlineStr">
        <is>
          <t>Bahan Baku</t>
        </is>
      </c>
      <c r="G8" s="108" t="inlineStr">
        <is>
          <t>Disetujui</t>
        </is>
      </c>
    </row>
    <row r="9" ht="18" customHeight="1">
      <c r="B9" s="92" t="n">
        <v>46175</v>
      </c>
      <c r="C9" s="105" t="inlineStr">
        <is>
          <t>Masuk</t>
        </is>
      </c>
      <c r="D9" s="65" t="n">
        <v>380000</v>
      </c>
      <c r="E9" s="105" t="inlineStr">
        <is>
          <t>jualan</t>
        </is>
      </c>
      <c r="F9" s="105" t="n"/>
      <c r="G9" s="106" t="n"/>
    </row>
    <row r="10" ht="18" customHeight="1">
      <c r="B10" s="88" t="n">
        <v>46175</v>
      </c>
      <c r="C10" s="107" t="inlineStr">
        <is>
          <t>Keluar</t>
        </is>
      </c>
      <c r="D10" s="67" t="n">
        <v>25000</v>
      </c>
      <c r="E10" s="107" t="inlineStr">
        <is>
          <t>bensin antar pesanan</t>
        </is>
      </c>
      <c r="F10" s="107" t="n"/>
      <c r="G10" s="108" t="n"/>
    </row>
    <row r="11" ht="18" customHeight="1">
      <c r="B11" s="92" t="n">
        <v>46176</v>
      </c>
      <c r="C11" s="105" t="inlineStr">
        <is>
          <t>Masuk</t>
        </is>
      </c>
      <c r="D11" s="65" t="n">
        <v>620000</v>
      </c>
      <c r="E11" s="105" t="inlineStr">
        <is>
          <t>pesanan katering 20 box</t>
        </is>
      </c>
      <c r="F11" s="105" t="inlineStr">
        <is>
          <t>Pendapatan Jasa</t>
        </is>
      </c>
      <c r="G11" s="106" t="inlineStr">
        <is>
          <t>Disetujui</t>
        </is>
      </c>
    </row>
    <row r="12" ht="18" customHeight="1">
      <c r="B12" s="88" t="n">
        <v>46176</v>
      </c>
      <c r="C12" s="107" t="inlineStr">
        <is>
          <t>Keluar</t>
        </is>
      </c>
      <c r="D12" s="67" t="n">
        <v>300000</v>
      </c>
      <c r="E12" s="107" t="inlineStr">
        <is>
          <t>belanja pasar</t>
        </is>
      </c>
      <c r="F12" s="107" t="inlineStr">
        <is>
          <t>Bahan Baku</t>
        </is>
      </c>
      <c r="G12" s="108" t="inlineStr">
        <is>
          <t>Disetujui</t>
        </is>
      </c>
    </row>
    <row r="13" ht="18" customHeight="1">
      <c r="B13" s="92" t="n">
        <v>46177</v>
      </c>
      <c r="C13" s="105" t="inlineStr">
        <is>
          <t>Keluar</t>
        </is>
      </c>
      <c r="D13" s="65" t="n">
        <v>500000</v>
      </c>
      <c r="E13" s="105" t="inlineStr">
        <is>
          <t>bayar listrik</t>
        </is>
      </c>
      <c r="F13" s="105" t="inlineStr">
        <is>
          <t>Listrik &amp; Air</t>
        </is>
      </c>
      <c r="G13" s="106" t="inlineStr">
        <is>
          <t>Disetujui</t>
        </is>
      </c>
    </row>
    <row r="15">
      <c r="B15" s="18" t="inlineStr">
        <is>
          <t>Perhatikan: kolom Kategori dan Status boleh kosong saat pemilik usaha mencatat. Admin yang melengkapi kemudian.</t>
        </is>
      </c>
    </row>
  </sheetData>
  <mergeCells count="4">
    <mergeCell ref="B3:G3"/>
    <mergeCell ref="B2:G2"/>
    <mergeCell ref="B4:G4"/>
    <mergeCell ref="B15:G15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E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9" t="inlineStr">
        <is>
          <t>Data bantu untuk kartu &amp; grafik Dashboard — tidak perlu diubah</t>
        </is>
      </c>
    </row>
    <row r="3" ht="26" customHeight="1">
      <c r="A3" s="64" t="inlineStr">
        <is>
          <t>Metrik</t>
        </is>
      </c>
      <c r="B3" s="64" t="inlineStr">
        <is>
          <t>Bulan Ini</t>
        </is>
      </c>
      <c r="C3" s="64" t="inlineStr">
        <is>
          <t>Bulan Lalu</t>
        </is>
      </c>
    </row>
    <row r="4">
      <c r="A4" s="21" t="inlineStr">
        <is>
          <t>Uang Masuk</t>
        </is>
      </c>
      <c r="B4" s="110">
        <f>SUMIFS(Transaksi!$C:$C,Transaksi!$J:$J,Dashboard!$C$8,Transaksi!$B:$B,"Masuk")</f>
        <v/>
      </c>
      <c r="C4" s="110">
        <f>SUMIFS(Transaksi!$C:$C,Transaksi!$J:$J,Dashboard!$F$8,Transaksi!$B:$B,"Masuk")</f>
        <v/>
      </c>
    </row>
    <row r="5">
      <c r="A5" s="21" t="inlineStr">
        <is>
          <t>Uang Keluar</t>
        </is>
      </c>
      <c r="B5" s="110">
        <f>SUMIFS(Transaksi!$C:$C,Transaksi!$J:$J,Dashboard!$C$8,Transaksi!$B:$B,"Keluar")</f>
        <v/>
      </c>
      <c r="C5" s="110">
        <f>SUMIFS(Transaksi!$C:$C,Transaksi!$J:$J,Dashboard!$F$8,Transaksi!$B:$B,"Keluar")</f>
        <v/>
      </c>
    </row>
    <row r="6">
      <c r="A6" s="21" t="inlineStr">
        <is>
          <t>Laba / Rugi</t>
        </is>
      </c>
      <c r="B6" s="110">
        <f>$B$4-$B$5</f>
        <v/>
      </c>
      <c r="C6" s="110">
        <f>$C$4-$C$5</f>
        <v/>
      </c>
    </row>
    <row r="7">
      <c r="A7" s="21" t="inlineStr">
        <is>
          <t>Saldo Kas</t>
        </is>
      </c>
      <c r="B7" s="110">
        <f>IF('Profil Usaha'!$C$14="",0,'Profil Usaha'!$C$14)+SUMIFS(Transaksi!$C:$C,Transaksi!$J:$J,"&lt;="&amp;Dashboard!$C$8,Transaksi!$B:$B,"Masuk")-SUMIFS(Transaksi!$C:$C,Transaksi!$J:$J,"&lt;="&amp;Dashboard!$C$8,Transaksi!$B:$B,"Keluar")</f>
        <v/>
      </c>
      <c r="C7" s="110">
        <f>IF('Profil Usaha'!$C$14="",0,'Profil Usaha'!$C$14)+SUMIFS(Transaksi!$C:$C,Transaksi!$J:$J,"&lt;="&amp;Dashboard!$F$8,Transaksi!$B:$B,"Masuk")-SUMIFS(Transaksi!$C:$C,Transaksi!$J:$J,"&lt;="&amp;Dashboard!$F$8,Transaksi!$B:$B,"Keluar")</f>
        <v/>
      </c>
    </row>
    <row r="8">
      <c r="A8" s="21" t="inlineStr">
        <is>
          <t>Jumlah Transaksi</t>
        </is>
      </c>
      <c r="B8" s="111">
        <f>COUNTIFS(Transaksi!$J:$J,Dashboard!$C$8)</f>
        <v/>
      </c>
      <c r="C8" s="111">
        <f>COUNTIFS(Transaksi!$J:$J,Dashboard!$F$8)</f>
        <v/>
      </c>
    </row>
    <row r="9">
      <c r="A9" s="21" t="inlineStr">
        <is>
          <t>Belum Dikategorikan</t>
        </is>
      </c>
      <c r="B9" s="111">
        <f>COUNTIFS(Transaksi!$J:$J,Dashboard!$C$8,Transaksi!$E:$E,"")</f>
        <v/>
      </c>
      <c r="C9" s="112" t="n"/>
    </row>
    <row r="10">
      <c r="A10" s="21" t="inlineStr">
        <is>
          <t>Belum Disetujui</t>
        </is>
      </c>
      <c r="B10" s="111">
        <f>COUNTIFS(Transaksi!$J:$J,Dashboard!$C$8,Transaksi!$G:$G,"&lt;&gt;Disetujui")</f>
        <v/>
      </c>
      <c r="C10" s="112" t="n"/>
    </row>
    <row r="11">
      <c r="A11" s="21" t="inlineStr">
        <is>
          <t>Transaksi Terakhir Dicatat</t>
        </is>
      </c>
      <c r="B11" s="113">
        <f>IF(COUNT(Transaksi!$A:$A)=0,"-",MAX(Transaksi!$A:$A))</f>
        <v/>
      </c>
      <c r="C11" s="112" t="n"/>
    </row>
    <row r="14" ht="26" customHeight="1">
      <c r="A14" s="64" t="inlineStr">
        <is>
          <t>Bulan</t>
        </is>
      </c>
      <c r="B14" s="64" t="inlineStr">
        <is>
          <t>Kunci</t>
        </is>
      </c>
      <c r="C14" s="64" t="inlineStr">
        <is>
          <t>Uang Masuk</t>
        </is>
      </c>
      <c r="D14" s="64" t="inlineStr">
        <is>
          <t>Uang Keluar</t>
        </is>
      </c>
      <c r="E14" s="64" t="inlineStr">
        <is>
          <t>Laba / Rugi</t>
        </is>
      </c>
    </row>
    <row r="15">
      <c r="A15" s="112">
        <f>CHOOSE(1,"Jan","Feb","Mar","Apr","Mei","Jun","Jul","Agu","Sep","Okt","Nov","Des")</f>
        <v/>
      </c>
      <c r="B15" s="112">
        <f>TEXT(DATE(Dashboard!$F$6,1,1),"yyyy-mm")</f>
        <v/>
      </c>
      <c r="C15" s="110">
        <f>SUMIFS(Transaksi!$C:$C,Transaksi!$J:$J,$B15,Transaksi!$B:$B,"Masuk")</f>
        <v/>
      </c>
      <c r="D15" s="110">
        <f>SUMIFS(Transaksi!$C:$C,Transaksi!$J:$J,$B15,Transaksi!$B:$B,"Keluar")</f>
        <v/>
      </c>
      <c r="E15" s="110">
        <f>$C15-$D15</f>
        <v/>
      </c>
    </row>
    <row r="16">
      <c r="A16" s="112">
        <f>CHOOSE(2,"Jan","Feb","Mar","Apr","Mei","Jun","Jul","Agu","Sep","Okt","Nov","Des")</f>
        <v/>
      </c>
      <c r="B16" s="112">
        <f>TEXT(DATE(Dashboard!$F$6,2,1),"yyyy-mm")</f>
        <v/>
      </c>
      <c r="C16" s="110">
        <f>SUMIFS(Transaksi!$C:$C,Transaksi!$J:$J,$B16,Transaksi!$B:$B,"Masuk")</f>
        <v/>
      </c>
      <c r="D16" s="110">
        <f>SUMIFS(Transaksi!$C:$C,Transaksi!$J:$J,$B16,Transaksi!$B:$B,"Keluar")</f>
        <v/>
      </c>
      <c r="E16" s="110">
        <f>$C16-$D16</f>
        <v/>
      </c>
    </row>
    <row r="17">
      <c r="A17" s="112">
        <f>CHOOSE(3,"Jan","Feb","Mar","Apr","Mei","Jun","Jul","Agu","Sep","Okt","Nov","Des")</f>
        <v/>
      </c>
      <c r="B17" s="112">
        <f>TEXT(DATE(Dashboard!$F$6,3,1),"yyyy-mm")</f>
        <v/>
      </c>
      <c r="C17" s="110">
        <f>SUMIFS(Transaksi!$C:$C,Transaksi!$J:$J,$B17,Transaksi!$B:$B,"Masuk")</f>
        <v/>
      </c>
      <c r="D17" s="110">
        <f>SUMIFS(Transaksi!$C:$C,Transaksi!$J:$J,$B17,Transaksi!$B:$B,"Keluar")</f>
        <v/>
      </c>
      <c r="E17" s="110">
        <f>$C17-$D17</f>
        <v/>
      </c>
    </row>
    <row r="18">
      <c r="A18" s="112">
        <f>CHOOSE(4,"Jan","Feb","Mar","Apr","Mei","Jun","Jul","Agu","Sep","Okt","Nov","Des")</f>
        <v/>
      </c>
      <c r="B18" s="112">
        <f>TEXT(DATE(Dashboard!$F$6,4,1),"yyyy-mm")</f>
        <v/>
      </c>
      <c r="C18" s="110">
        <f>SUMIFS(Transaksi!$C:$C,Transaksi!$J:$J,$B18,Transaksi!$B:$B,"Masuk")</f>
        <v/>
      </c>
      <c r="D18" s="110">
        <f>SUMIFS(Transaksi!$C:$C,Transaksi!$J:$J,$B18,Transaksi!$B:$B,"Keluar")</f>
        <v/>
      </c>
      <c r="E18" s="110">
        <f>$C18-$D18</f>
        <v/>
      </c>
    </row>
    <row r="19">
      <c r="A19" s="112">
        <f>CHOOSE(5,"Jan","Feb","Mar","Apr","Mei","Jun","Jul","Agu","Sep","Okt","Nov","Des")</f>
        <v/>
      </c>
      <c r="B19" s="112">
        <f>TEXT(DATE(Dashboard!$F$6,5,1),"yyyy-mm")</f>
        <v/>
      </c>
      <c r="C19" s="110">
        <f>SUMIFS(Transaksi!$C:$C,Transaksi!$J:$J,$B19,Transaksi!$B:$B,"Masuk")</f>
        <v/>
      </c>
      <c r="D19" s="110">
        <f>SUMIFS(Transaksi!$C:$C,Transaksi!$J:$J,$B19,Transaksi!$B:$B,"Keluar")</f>
        <v/>
      </c>
      <c r="E19" s="110">
        <f>$C19-$D19</f>
        <v/>
      </c>
    </row>
    <row r="20">
      <c r="A20" s="112">
        <f>CHOOSE(6,"Jan","Feb","Mar","Apr","Mei","Jun","Jul","Agu","Sep","Okt","Nov","Des")</f>
        <v/>
      </c>
      <c r="B20" s="112">
        <f>TEXT(DATE(Dashboard!$F$6,6,1),"yyyy-mm")</f>
        <v/>
      </c>
      <c r="C20" s="110">
        <f>SUMIFS(Transaksi!$C:$C,Transaksi!$J:$J,$B20,Transaksi!$B:$B,"Masuk")</f>
        <v/>
      </c>
      <c r="D20" s="110">
        <f>SUMIFS(Transaksi!$C:$C,Transaksi!$J:$J,$B20,Transaksi!$B:$B,"Keluar")</f>
        <v/>
      </c>
      <c r="E20" s="110">
        <f>$C20-$D20</f>
        <v/>
      </c>
    </row>
    <row r="21">
      <c r="A21" s="112">
        <f>CHOOSE(7,"Jan","Feb","Mar","Apr","Mei","Jun","Jul","Agu","Sep","Okt","Nov","Des")</f>
        <v/>
      </c>
      <c r="B21" s="112">
        <f>TEXT(DATE(Dashboard!$F$6,7,1),"yyyy-mm")</f>
        <v/>
      </c>
      <c r="C21" s="110">
        <f>SUMIFS(Transaksi!$C:$C,Transaksi!$J:$J,$B21,Transaksi!$B:$B,"Masuk")</f>
        <v/>
      </c>
      <c r="D21" s="110">
        <f>SUMIFS(Transaksi!$C:$C,Transaksi!$J:$J,$B21,Transaksi!$B:$B,"Keluar")</f>
        <v/>
      </c>
      <c r="E21" s="110">
        <f>$C21-$D21</f>
        <v/>
      </c>
    </row>
    <row r="22">
      <c r="A22" s="112">
        <f>CHOOSE(8,"Jan","Feb","Mar","Apr","Mei","Jun","Jul","Agu","Sep","Okt","Nov","Des")</f>
        <v/>
      </c>
      <c r="B22" s="112">
        <f>TEXT(DATE(Dashboard!$F$6,8,1),"yyyy-mm")</f>
        <v/>
      </c>
      <c r="C22" s="110">
        <f>SUMIFS(Transaksi!$C:$C,Transaksi!$J:$J,$B22,Transaksi!$B:$B,"Masuk")</f>
        <v/>
      </c>
      <c r="D22" s="110">
        <f>SUMIFS(Transaksi!$C:$C,Transaksi!$J:$J,$B22,Transaksi!$B:$B,"Keluar")</f>
        <v/>
      </c>
      <c r="E22" s="110">
        <f>$C22-$D22</f>
        <v/>
      </c>
    </row>
    <row r="23">
      <c r="A23" s="112">
        <f>CHOOSE(9,"Jan","Feb","Mar","Apr","Mei","Jun","Jul","Agu","Sep","Okt","Nov","Des")</f>
        <v/>
      </c>
      <c r="B23" s="112">
        <f>TEXT(DATE(Dashboard!$F$6,9,1),"yyyy-mm")</f>
        <v/>
      </c>
      <c r="C23" s="110">
        <f>SUMIFS(Transaksi!$C:$C,Transaksi!$J:$J,$B23,Transaksi!$B:$B,"Masuk")</f>
        <v/>
      </c>
      <c r="D23" s="110">
        <f>SUMIFS(Transaksi!$C:$C,Transaksi!$J:$J,$B23,Transaksi!$B:$B,"Keluar")</f>
        <v/>
      </c>
      <c r="E23" s="110">
        <f>$C23-$D23</f>
        <v/>
      </c>
    </row>
    <row r="24">
      <c r="A24" s="112">
        <f>CHOOSE(10,"Jan","Feb","Mar","Apr","Mei","Jun","Jul","Agu","Sep","Okt","Nov","Des")</f>
        <v/>
      </c>
      <c r="B24" s="112">
        <f>TEXT(DATE(Dashboard!$F$6,10,1),"yyyy-mm")</f>
        <v/>
      </c>
      <c r="C24" s="110">
        <f>SUMIFS(Transaksi!$C:$C,Transaksi!$J:$J,$B24,Transaksi!$B:$B,"Masuk")</f>
        <v/>
      </c>
      <c r="D24" s="110">
        <f>SUMIFS(Transaksi!$C:$C,Transaksi!$J:$J,$B24,Transaksi!$B:$B,"Keluar")</f>
        <v/>
      </c>
      <c r="E24" s="110">
        <f>$C24-$D24</f>
        <v/>
      </c>
    </row>
    <row r="25">
      <c r="A25" s="112">
        <f>CHOOSE(11,"Jan","Feb","Mar","Apr","Mei","Jun","Jul","Agu","Sep","Okt","Nov","Des")</f>
        <v/>
      </c>
      <c r="B25" s="112">
        <f>TEXT(DATE(Dashboard!$F$6,11,1),"yyyy-mm")</f>
        <v/>
      </c>
      <c r="C25" s="110">
        <f>SUMIFS(Transaksi!$C:$C,Transaksi!$J:$J,$B25,Transaksi!$B:$B,"Masuk")</f>
        <v/>
      </c>
      <c r="D25" s="110">
        <f>SUMIFS(Transaksi!$C:$C,Transaksi!$J:$J,$B25,Transaksi!$B:$B,"Keluar")</f>
        <v/>
      </c>
      <c r="E25" s="110">
        <f>$C25-$D25</f>
        <v/>
      </c>
    </row>
    <row r="26">
      <c r="A26" s="112">
        <f>CHOOSE(12,"Jan","Feb","Mar","Apr","Mei","Jun","Jul","Agu","Sep","Okt","Nov","Des")</f>
        <v/>
      </c>
      <c r="B26" s="112">
        <f>TEXT(DATE(Dashboard!$F$6,12,1),"yyyy-mm")</f>
        <v/>
      </c>
      <c r="C26" s="110">
        <f>SUMIFS(Transaksi!$C:$C,Transaksi!$J:$J,$B26,Transaksi!$B:$B,"Masuk")</f>
        <v/>
      </c>
      <c r="D26" s="110">
        <f>SUMIFS(Transaksi!$C:$C,Transaksi!$J:$J,$B26,Transaksi!$B:$B,"Keluar")</f>
        <v/>
      </c>
      <c r="E26" s="110">
        <f>$C26-$D26</f>
        <v/>
      </c>
    </row>
    <row r="29" ht="26" customHeight="1">
      <c r="A29" s="53" t="inlineStr">
        <is>
          <t>Kategori Pengeluaran</t>
        </is>
      </c>
      <c r="B29" s="53" t="inlineStr">
        <is>
          <t>Jumlah</t>
        </is>
      </c>
      <c r="C29" s="53" t="inlineStr">
        <is>
          <t>Nilai Unik (bantu)</t>
        </is>
      </c>
    </row>
    <row r="30">
      <c r="A30" s="112">
        <f>Kategori!$C$7</f>
        <v/>
      </c>
      <c r="B30" s="110">
        <f>SUMIFS(Transaksi!$C:$C,Transaksi!$J:$J,Dashboard!$C$8,Transaksi!$B:$B,"Keluar",Transaksi!$E:$E,$A30)</f>
        <v/>
      </c>
      <c r="C30" s="112">
        <f>IF($B30&lt;=0,0,$B30+ROW()/1000000)</f>
        <v/>
      </c>
    </row>
    <row r="31">
      <c r="A31" s="112">
        <f>Kategori!$C$8</f>
        <v/>
      </c>
      <c r="B31" s="110">
        <f>SUMIFS(Transaksi!$C:$C,Transaksi!$J:$J,Dashboard!$C$8,Transaksi!$B:$B,"Keluar",Transaksi!$E:$E,$A31)</f>
        <v/>
      </c>
      <c r="C31" s="112">
        <f>IF($B31&lt;=0,0,$B31+ROW()/1000000)</f>
        <v/>
      </c>
    </row>
    <row r="32">
      <c r="A32" s="112">
        <f>Kategori!$C$9</f>
        <v/>
      </c>
      <c r="B32" s="110">
        <f>SUMIFS(Transaksi!$C:$C,Transaksi!$J:$J,Dashboard!$C$8,Transaksi!$B:$B,"Keluar",Transaksi!$E:$E,$A32)</f>
        <v/>
      </c>
      <c r="C32" s="112">
        <f>IF($B32&lt;=0,0,$B32+ROW()/1000000)</f>
        <v/>
      </c>
    </row>
    <row r="33">
      <c r="A33" s="112">
        <f>Kategori!$C$10</f>
        <v/>
      </c>
      <c r="B33" s="110">
        <f>SUMIFS(Transaksi!$C:$C,Transaksi!$J:$J,Dashboard!$C$8,Transaksi!$B:$B,"Keluar",Transaksi!$E:$E,$A33)</f>
        <v/>
      </c>
      <c r="C33" s="112">
        <f>IF($B33&lt;=0,0,$B33+ROW()/1000000)</f>
        <v/>
      </c>
    </row>
    <row r="34">
      <c r="A34" s="112">
        <f>Kategori!$C$11</f>
        <v/>
      </c>
      <c r="B34" s="110">
        <f>SUMIFS(Transaksi!$C:$C,Transaksi!$J:$J,Dashboard!$C$8,Transaksi!$B:$B,"Keluar",Transaksi!$E:$E,$A34)</f>
        <v/>
      </c>
      <c r="C34" s="112">
        <f>IF($B34&lt;=0,0,$B34+ROW()/1000000)</f>
        <v/>
      </c>
    </row>
    <row r="35">
      <c r="A35" s="112">
        <f>Kategori!$C$12</f>
        <v/>
      </c>
      <c r="B35" s="110">
        <f>SUMIFS(Transaksi!$C:$C,Transaksi!$J:$J,Dashboard!$C$8,Transaksi!$B:$B,"Keluar",Transaksi!$E:$E,$A35)</f>
        <v/>
      </c>
      <c r="C35" s="112">
        <f>IF($B35&lt;=0,0,$B35+ROW()/1000000)</f>
        <v/>
      </c>
    </row>
    <row r="36">
      <c r="A36" s="112">
        <f>Kategori!$C$13</f>
        <v/>
      </c>
      <c r="B36" s="110">
        <f>SUMIFS(Transaksi!$C:$C,Transaksi!$J:$J,Dashboard!$C$8,Transaksi!$B:$B,"Keluar",Transaksi!$E:$E,$A36)</f>
        <v/>
      </c>
      <c r="C36" s="112">
        <f>IF($B36&lt;=0,0,$B36+ROW()/1000000)</f>
        <v/>
      </c>
    </row>
    <row r="37">
      <c r="A37" s="112">
        <f>Kategori!$C$14</f>
        <v/>
      </c>
      <c r="B37" s="110">
        <f>SUMIFS(Transaksi!$C:$C,Transaksi!$J:$J,Dashboard!$C$8,Transaksi!$B:$B,"Keluar",Transaksi!$E:$E,$A37)</f>
        <v/>
      </c>
      <c r="C37" s="112">
        <f>IF($B37&lt;=0,0,$B37+ROW()/1000000)</f>
        <v/>
      </c>
    </row>
    <row r="38">
      <c r="A38" s="112">
        <f>Kategori!$C$15</f>
        <v/>
      </c>
      <c r="B38" s="110">
        <f>SUMIFS(Transaksi!$C:$C,Transaksi!$J:$J,Dashboard!$C$8,Transaksi!$B:$B,"Keluar",Transaksi!$E:$E,$A38)</f>
        <v/>
      </c>
      <c r="C38" s="112">
        <f>IF($B38&lt;=0,0,$B38+ROW()/1000000)</f>
        <v/>
      </c>
    </row>
    <row r="39">
      <c r="A39" s="112">
        <f>Kategori!$C$16</f>
        <v/>
      </c>
      <c r="B39" s="110">
        <f>SUMIFS(Transaksi!$C:$C,Transaksi!$J:$J,Dashboard!$C$8,Transaksi!$B:$B,"Keluar",Transaksi!$E:$E,$A39)</f>
        <v/>
      </c>
      <c r="C39" s="112">
        <f>IF($B39&lt;=0,0,$B39+ROW()/1000000)</f>
        <v/>
      </c>
    </row>
    <row r="40">
      <c r="A40" s="112">
        <f>Kategori!$C$17</f>
        <v/>
      </c>
      <c r="B40" s="110">
        <f>SUMIFS(Transaksi!$C:$C,Transaksi!$J:$J,Dashboard!$C$8,Transaksi!$B:$B,"Keluar",Transaksi!$E:$E,$A40)</f>
        <v/>
      </c>
      <c r="C40" s="112">
        <f>IF($B40&lt;=0,0,$B40+ROW()/1000000)</f>
        <v/>
      </c>
    </row>
    <row r="41">
      <c r="A41" s="112">
        <f>Kategori!$C$18</f>
        <v/>
      </c>
      <c r="B41" s="110">
        <f>SUMIFS(Transaksi!$C:$C,Transaksi!$J:$J,Dashboard!$C$8,Transaksi!$B:$B,"Keluar",Transaksi!$E:$E,$A41)</f>
        <v/>
      </c>
      <c r="C41" s="112">
        <f>IF($B41&lt;=0,0,$B41+ROW()/1000000)</f>
        <v/>
      </c>
    </row>
    <row r="44" ht="26" customHeight="1">
      <c r="A44" s="53" t="inlineStr">
        <is>
          <t>Top Kategori Pengeluaran</t>
        </is>
      </c>
      <c r="B44" s="53" t="inlineStr">
        <is>
          <t>Jumlah</t>
        </is>
      </c>
    </row>
    <row r="45">
      <c r="A45" s="112">
        <f>IF(LARGE($C$30:$C$41,1)&lt;=0,"",INDEX($A$30:$A$41,MATCH(LARGE($C$30:$C$41,1),$C$30:$C$41,0)))</f>
        <v/>
      </c>
      <c r="B45" s="110">
        <f>IF($A45="","",INDEX($B$30:$B$41,MATCH(LARGE($C$30:$C$41,1),$C$30:$C$41,0)))</f>
        <v/>
      </c>
    </row>
    <row r="46">
      <c r="A46" s="112">
        <f>IF(LARGE($C$30:$C$41,2)&lt;=0,"",INDEX($A$30:$A$41,MATCH(LARGE($C$30:$C$41,2),$C$30:$C$41,0)))</f>
        <v/>
      </c>
      <c r="B46" s="110">
        <f>IF($A46="","",INDEX($B$30:$B$41,MATCH(LARGE($C$30:$C$41,2),$C$30:$C$41,0)))</f>
        <v/>
      </c>
    </row>
    <row r="47">
      <c r="A47" s="112">
        <f>IF(LARGE($C$30:$C$41,3)&lt;=0,"",INDEX($A$30:$A$41,MATCH(LARGE($C$30:$C$41,3),$C$30:$C$41,0)))</f>
        <v/>
      </c>
      <c r="B47" s="110">
        <f>IF($A47="","",INDEX($B$30:$B$41,MATCH(LARGE($C$30:$C$41,3),$C$30:$C$41,0)))</f>
        <v/>
      </c>
    </row>
    <row r="48">
      <c r="A48" s="112">
        <f>IF(LARGE($C$30:$C$41,4)&lt;=0,"",INDEX($A$30:$A$41,MATCH(LARGE($C$30:$C$41,4),$C$30:$C$41,0)))</f>
        <v/>
      </c>
      <c r="B48" s="110">
        <f>IF($A48="","",INDEX($B$30:$B$41,MATCH(LARGE($C$30:$C$41,4),$C$30:$C$41,0)))</f>
        <v/>
      </c>
    </row>
    <row r="49">
      <c r="A49" s="112">
        <f>IF(LARGE($C$30:$C$41,5)&lt;=0,"",INDEX($A$30:$A$41,MATCH(LARGE($C$30:$C$41,5),$C$30:$C$41,0)))</f>
        <v/>
      </c>
      <c r="B49" s="110">
        <f>IF($A49="","",INDEX($B$30:$B$41,MATCH(LARGE($C$30:$C$41,5),$C$30:$C$41,0)))</f>
        <v/>
      </c>
    </row>
    <row r="50">
      <c r="A50" s="112">
        <f>IF(MAX(0,$B$5-SUM($B$45:$B$49))=0,"","Lainnya &amp; belum dikategorikan")</f>
        <v/>
      </c>
      <c r="B50" s="110">
        <f>MAX(0,$B$5-SUM($B$45:$B$49))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KasUMKM</dc:creator>
  <dc:title>Pembukuan UMKM</dc:title>
  <dcterms:created xsi:type="dcterms:W3CDTF">2026-09-01T13:40:52Z</dcterms:created>
  <dcterms:modified xsi:type="dcterms:W3CDTF">2026-09-01T13:40:53Z</dcterms:modified>
</cp:coreProperties>
</file>